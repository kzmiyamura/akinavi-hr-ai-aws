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defaultThemeVersion="124226"/>
  <mc:AlternateContent xmlns:mc="http://schemas.openxmlformats.org/markup-compatibility/2006">
    <mc:Choice Requires="x15">
      <x15ac:absPath xmlns:x15ac="http://schemas.microsoft.com/office/spreadsheetml/2010/11/ac" url="C:\Users\須永奈々\Downloads\"/>
    </mc:Choice>
  </mc:AlternateContent>
  <xr:revisionPtr revIDLastSave="0" documentId="8_{4E768DB9-5B8A-4C75-8F70-47526A2224BF}" xr6:coauthVersionLast="47" xr6:coauthVersionMax="47" xr10:uidLastSave="{00000000-0000-0000-0000-000000000000}"/>
  <bookViews>
    <workbookView xWindow="-110" yWindow="-110" windowWidth="19420" windowHeight="10300" xr2:uid="{00000000-000D-0000-FFFF-FFFF00000000}"/>
  </bookViews>
  <sheets>
    <sheet name="表紙" sheetId="1" r:id="rId1"/>
  </sheets>
  <definedNames>
    <definedName name="_xlnm.Print_Area" localSheetId="0">表紙!$A$1:$BM$171</definedName>
    <definedName name="_xlnm.Print_Titles" localSheetId="0">表紙!$37:$39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1" l="1"/>
  <c r="BZ43" i="1" s="1"/>
  <c r="BT43" i="1"/>
  <c r="BS43" i="1"/>
  <c r="BQ43" i="1"/>
  <c r="BP43" i="1"/>
  <c r="BO43" i="1"/>
  <c r="C48" i="1"/>
  <c r="BZ46" i="1" s="1"/>
  <c r="BT46" i="1"/>
  <c r="BS46" i="1"/>
  <c r="BQ46" i="1"/>
  <c r="BP46" i="1"/>
  <c r="BO46" i="1"/>
  <c r="C51" i="1"/>
  <c r="BZ49" i="1" s="1"/>
  <c r="BQ49" i="1"/>
  <c r="BP49" i="1"/>
  <c r="BO49" i="1"/>
  <c r="BT49" i="1"/>
  <c r="BS49" i="1"/>
  <c r="C54" i="1" l="1"/>
  <c r="BZ52" i="1" s="1"/>
  <c r="BQ52" i="1"/>
  <c r="BP52" i="1"/>
  <c r="BO52" i="1"/>
  <c r="BT52" i="1"/>
  <c r="BS52" i="1"/>
  <c r="C42" i="1" l="1"/>
  <c r="BT169" i="1" l="1"/>
  <c r="BS169" i="1"/>
  <c r="BT166" i="1"/>
  <c r="BS166" i="1"/>
  <c r="BT163" i="1"/>
  <c r="BS163" i="1"/>
  <c r="BT160" i="1"/>
  <c r="BS160" i="1"/>
  <c r="BT157" i="1"/>
  <c r="BS157" i="1"/>
  <c r="BT154" i="1"/>
  <c r="BS154" i="1"/>
  <c r="BT151" i="1"/>
  <c r="BS151" i="1"/>
  <c r="BT148" i="1"/>
  <c r="BS148" i="1"/>
  <c r="BT145" i="1"/>
  <c r="BS145" i="1"/>
  <c r="BT142" i="1"/>
  <c r="BS142" i="1"/>
  <c r="BT139" i="1"/>
  <c r="BS139" i="1"/>
  <c r="BT136" i="1"/>
  <c r="BS136" i="1"/>
  <c r="BT133" i="1"/>
  <c r="BS133" i="1"/>
  <c r="BT130" i="1"/>
  <c r="BS130" i="1"/>
  <c r="BT127" i="1"/>
  <c r="BS127" i="1"/>
  <c r="BT124" i="1"/>
  <c r="BS124" i="1"/>
  <c r="BT121" i="1"/>
  <c r="BS121" i="1"/>
  <c r="BT118" i="1"/>
  <c r="BS118" i="1"/>
  <c r="BT115" i="1"/>
  <c r="BS115" i="1"/>
  <c r="BT112" i="1"/>
  <c r="BS112" i="1"/>
  <c r="BT109" i="1"/>
  <c r="BS109" i="1"/>
  <c r="BT106" i="1"/>
  <c r="BS106" i="1"/>
  <c r="BT103" i="1"/>
  <c r="BS103" i="1"/>
  <c r="BT100" i="1"/>
  <c r="BS100" i="1"/>
  <c r="BT97" i="1"/>
  <c r="BS97" i="1"/>
  <c r="BT94" i="1"/>
  <c r="BS94" i="1"/>
  <c r="BT91" i="1"/>
  <c r="BS91" i="1"/>
  <c r="BT88" i="1"/>
  <c r="BS88" i="1"/>
  <c r="BT85" i="1"/>
  <c r="BS85" i="1"/>
  <c r="BT82" i="1"/>
  <c r="BS82" i="1"/>
  <c r="BT79" i="1"/>
  <c r="BS79" i="1"/>
  <c r="BT76" i="1"/>
  <c r="BS76" i="1"/>
  <c r="BT73" i="1"/>
  <c r="BS73" i="1"/>
  <c r="BT70" i="1"/>
  <c r="BS70" i="1"/>
  <c r="BT67" i="1"/>
  <c r="BS67" i="1"/>
  <c r="BT64" i="1"/>
  <c r="BS64" i="1"/>
  <c r="BT61" i="1"/>
  <c r="BS61" i="1"/>
  <c r="BT58" i="1"/>
  <c r="BS58" i="1"/>
  <c r="BT55" i="1"/>
  <c r="BS55" i="1"/>
  <c r="BT40" i="1"/>
  <c r="BS40" i="1"/>
  <c r="BQ169" i="1"/>
  <c r="BP169" i="1"/>
  <c r="BO169" i="1"/>
  <c r="BQ166" i="1"/>
  <c r="BP166" i="1"/>
  <c r="BO166" i="1"/>
  <c r="BQ163" i="1"/>
  <c r="BP163" i="1"/>
  <c r="BO163" i="1"/>
  <c r="BQ160" i="1"/>
  <c r="BP160" i="1"/>
  <c r="BO160" i="1"/>
  <c r="BQ157" i="1"/>
  <c r="BP157" i="1"/>
  <c r="BO157" i="1"/>
  <c r="BQ154" i="1"/>
  <c r="BP154" i="1"/>
  <c r="BO154" i="1"/>
  <c r="BQ151" i="1"/>
  <c r="BP151" i="1"/>
  <c r="BO151" i="1"/>
  <c r="BQ148" i="1"/>
  <c r="BP148" i="1"/>
  <c r="BO148" i="1"/>
  <c r="BQ145" i="1"/>
  <c r="BP145" i="1"/>
  <c r="BO145" i="1"/>
  <c r="BQ142" i="1"/>
  <c r="BP142" i="1"/>
  <c r="BO142" i="1"/>
  <c r="BQ139" i="1"/>
  <c r="BP139" i="1"/>
  <c r="BO139" i="1"/>
  <c r="BQ136" i="1"/>
  <c r="BP136" i="1"/>
  <c r="BO136" i="1"/>
  <c r="BQ133" i="1"/>
  <c r="BP133" i="1"/>
  <c r="BO133" i="1"/>
  <c r="BQ130" i="1"/>
  <c r="BP130" i="1"/>
  <c r="BO130" i="1"/>
  <c r="BQ127" i="1"/>
  <c r="BP127" i="1"/>
  <c r="BO127" i="1"/>
  <c r="BQ124" i="1"/>
  <c r="BP124" i="1"/>
  <c r="BO124" i="1"/>
  <c r="BQ118" i="1"/>
  <c r="BP118" i="1"/>
  <c r="BO118" i="1"/>
  <c r="BQ115" i="1"/>
  <c r="BP115" i="1"/>
  <c r="BO115" i="1"/>
  <c r="BQ112" i="1"/>
  <c r="BP112" i="1"/>
  <c r="BO112" i="1"/>
  <c r="BQ109" i="1"/>
  <c r="BP109" i="1"/>
  <c r="BO109" i="1"/>
  <c r="BQ106" i="1"/>
  <c r="BP106" i="1"/>
  <c r="BO106" i="1"/>
  <c r="BQ103" i="1"/>
  <c r="BP103" i="1"/>
  <c r="BO103" i="1"/>
  <c r="BQ100" i="1"/>
  <c r="BP100" i="1"/>
  <c r="BO100" i="1"/>
  <c r="BQ97" i="1"/>
  <c r="BP97" i="1"/>
  <c r="BO97" i="1"/>
  <c r="BQ94" i="1"/>
  <c r="BP94" i="1"/>
  <c r="BO94" i="1"/>
  <c r="BQ91" i="1"/>
  <c r="BP91" i="1"/>
  <c r="BO91" i="1"/>
  <c r="BQ88" i="1"/>
  <c r="BP88" i="1"/>
  <c r="BO88" i="1"/>
  <c r="BQ85" i="1"/>
  <c r="BP85" i="1"/>
  <c r="BO85" i="1"/>
  <c r="BQ82" i="1"/>
  <c r="BP82" i="1"/>
  <c r="BO82" i="1"/>
  <c r="BQ79" i="1"/>
  <c r="BP79" i="1"/>
  <c r="BO79" i="1"/>
  <c r="BQ76" i="1"/>
  <c r="BP76" i="1"/>
  <c r="BO76" i="1"/>
  <c r="BQ73" i="1"/>
  <c r="BP73" i="1"/>
  <c r="BO73" i="1"/>
  <c r="BQ70" i="1"/>
  <c r="BP70" i="1"/>
  <c r="BO70" i="1"/>
  <c r="BQ67" i="1"/>
  <c r="BP67" i="1"/>
  <c r="BO67" i="1"/>
  <c r="BQ64" i="1"/>
  <c r="BP64" i="1"/>
  <c r="BO64" i="1"/>
  <c r="BQ61" i="1"/>
  <c r="BP61" i="1"/>
  <c r="BO61" i="1"/>
  <c r="BQ58" i="1"/>
  <c r="BP58" i="1"/>
  <c r="BO58" i="1"/>
  <c r="BQ55" i="1"/>
  <c r="BP55" i="1"/>
  <c r="BO55" i="1"/>
  <c r="BQ40" i="1"/>
  <c r="BP40" i="1"/>
  <c r="BO40" i="1"/>
  <c r="BQ121" i="1" l="1"/>
  <c r="BQ39" i="1" l="1"/>
  <c r="P19" i="1" s="1"/>
  <c r="BP39" i="1"/>
  <c r="G19" i="1" s="1"/>
  <c r="BO39" i="1"/>
  <c r="BS39" i="1"/>
  <c r="P16" i="1" s="1"/>
  <c r="C57" i="1"/>
  <c r="BZ55" i="1" s="1"/>
  <c r="BZ40" i="1"/>
  <c r="BW38" i="1"/>
  <c r="BV38" i="1"/>
  <c r="BU38" i="1"/>
  <c r="BR38" i="1"/>
  <c r="BR46" i="1" l="1"/>
  <c r="BR43" i="1"/>
  <c r="BU46" i="1"/>
  <c r="BU43" i="1"/>
  <c r="BV46" i="1"/>
  <c r="BV43" i="1"/>
  <c r="BW46" i="1"/>
  <c r="BW43" i="1"/>
  <c r="BY46" i="1"/>
  <c r="BY39" i="1"/>
  <c r="BR52" i="1"/>
  <c r="BR49" i="1"/>
  <c r="BU52" i="1"/>
  <c r="BU49" i="1"/>
  <c r="BV52" i="1"/>
  <c r="BV49" i="1"/>
  <c r="BW52" i="1"/>
  <c r="BW49" i="1"/>
  <c r="BW169" i="1"/>
  <c r="BW163" i="1"/>
  <c r="BW157" i="1"/>
  <c r="BW151" i="1"/>
  <c r="BW145" i="1"/>
  <c r="BW139" i="1"/>
  <c r="BW133" i="1"/>
  <c r="BW127" i="1"/>
  <c r="BW121" i="1"/>
  <c r="BW115" i="1"/>
  <c r="BW109" i="1"/>
  <c r="BW103" i="1"/>
  <c r="BW97" i="1"/>
  <c r="BW91" i="1"/>
  <c r="BW85" i="1"/>
  <c r="BW79" i="1"/>
  <c r="BW73" i="1"/>
  <c r="BW67" i="1"/>
  <c r="BW61" i="1"/>
  <c r="BW55" i="1"/>
  <c r="BW166" i="1"/>
  <c r="BW160" i="1"/>
  <c r="BW154" i="1"/>
  <c r="BW148" i="1"/>
  <c r="BW142" i="1"/>
  <c r="BW136" i="1"/>
  <c r="BW130" i="1"/>
  <c r="BW124" i="1"/>
  <c r="BW118" i="1"/>
  <c r="BW112" i="1"/>
  <c r="BW106" i="1"/>
  <c r="BW100" i="1"/>
  <c r="BW94" i="1"/>
  <c r="BW88" i="1"/>
  <c r="BW82" i="1"/>
  <c r="BW76" i="1"/>
  <c r="BW70" i="1"/>
  <c r="BW64" i="1"/>
  <c r="BW58" i="1"/>
  <c r="BW40" i="1"/>
  <c r="BR169" i="1"/>
  <c r="BR163" i="1"/>
  <c r="BR157" i="1"/>
  <c r="BR151" i="1"/>
  <c r="BR145" i="1"/>
  <c r="BR139" i="1"/>
  <c r="BR133" i="1"/>
  <c r="BR127" i="1"/>
  <c r="BR121" i="1"/>
  <c r="BR115" i="1"/>
  <c r="BR109" i="1"/>
  <c r="BR103" i="1"/>
  <c r="BR97" i="1"/>
  <c r="BR91" i="1"/>
  <c r="BR85" i="1"/>
  <c r="BR79" i="1"/>
  <c r="BR73" i="1"/>
  <c r="BR67" i="1"/>
  <c r="BR61" i="1"/>
  <c r="BR55" i="1"/>
  <c r="BR166" i="1"/>
  <c r="BR160" i="1"/>
  <c r="BR154" i="1"/>
  <c r="BR148" i="1"/>
  <c r="BR142" i="1"/>
  <c r="BR136" i="1"/>
  <c r="BR130" i="1"/>
  <c r="BR124" i="1"/>
  <c r="BR118" i="1"/>
  <c r="BR112" i="1"/>
  <c r="BR106" i="1"/>
  <c r="BR100" i="1"/>
  <c r="BR94" i="1"/>
  <c r="BR88" i="1"/>
  <c r="BR82" i="1"/>
  <c r="BR76" i="1"/>
  <c r="BR70" i="1"/>
  <c r="BR64" i="1"/>
  <c r="BR58" i="1"/>
  <c r="BR40" i="1"/>
  <c r="BU166" i="1"/>
  <c r="BU160" i="1"/>
  <c r="BU154" i="1"/>
  <c r="BU148" i="1"/>
  <c r="BU142" i="1"/>
  <c r="BU136" i="1"/>
  <c r="BU130" i="1"/>
  <c r="BU124" i="1"/>
  <c r="BU118" i="1"/>
  <c r="BU112" i="1"/>
  <c r="BU106" i="1"/>
  <c r="BU100" i="1"/>
  <c r="BU94" i="1"/>
  <c r="BU88" i="1"/>
  <c r="BU82" i="1"/>
  <c r="BU76" i="1"/>
  <c r="BU70" i="1"/>
  <c r="BU64" i="1"/>
  <c r="BU58" i="1"/>
  <c r="BU40" i="1"/>
  <c r="BU169" i="1"/>
  <c r="BU163" i="1"/>
  <c r="BU157" i="1"/>
  <c r="BU151" i="1"/>
  <c r="BU145" i="1"/>
  <c r="BU139" i="1"/>
  <c r="BU133" i="1"/>
  <c r="BU127" i="1"/>
  <c r="BU121" i="1"/>
  <c r="BU115" i="1"/>
  <c r="BU109" i="1"/>
  <c r="BU103" i="1"/>
  <c r="BU97" i="1"/>
  <c r="BU91" i="1"/>
  <c r="BU85" i="1"/>
  <c r="BU79" i="1"/>
  <c r="BU73" i="1"/>
  <c r="BU67" i="1"/>
  <c r="BU61" i="1"/>
  <c r="BU55" i="1"/>
  <c r="BV169" i="1"/>
  <c r="BV163" i="1"/>
  <c r="BV157" i="1"/>
  <c r="BV151" i="1"/>
  <c r="BV145" i="1"/>
  <c r="BV139" i="1"/>
  <c r="BV133" i="1"/>
  <c r="BV127" i="1"/>
  <c r="BV121" i="1"/>
  <c r="BV115" i="1"/>
  <c r="BV109" i="1"/>
  <c r="BV103" i="1"/>
  <c r="BV97" i="1"/>
  <c r="BV91" i="1"/>
  <c r="BV85" i="1"/>
  <c r="BV79" i="1"/>
  <c r="BV73" i="1"/>
  <c r="BV67" i="1"/>
  <c r="BV61" i="1"/>
  <c r="BV55" i="1"/>
  <c r="BV166" i="1"/>
  <c r="BV160" i="1"/>
  <c r="BV154" i="1"/>
  <c r="BV148" i="1"/>
  <c r="BV142" i="1"/>
  <c r="BV136" i="1"/>
  <c r="BV130" i="1"/>
  <c r="BV124" i="1"/>
  <c r="BV118" i="1"/>
  <c r="BV112" i="1"/>
  <c r="BV106" i="1"/>
  <c r="BV100" i="1"/>
  <c r="BV94" i="1"/>
  <c r="BV88" i="1"/>
  <c r="BV82" i="1"/>
  <c r="BV76" i="1"/>
  <c r="BV70" i="1"/>
  <c r="BV64" i="1"/>
  <c r="BV58" i="1"/>
  <c r="BV40" i="1"/>
  <c r="BT39" i="1"/>
  <c r="Y16" i="1" s="1"/>
  <c r="C171" i="1"/>
  <c r="BZ169" i="1" s="1"/>
  <c r="C168" i="1"/>
  <c r="BZ166" i="1" s="1"/>
  <c r="C165" i="1"/>
  <c r="BZ163" i="1" s="1"/>
  <c r="C162" i="1"/>
  <c r="BZ160" i="1" s="1"/>
  <c r="C159" i="1"/>
  <c r="BZ157" i="1" s="1"/>
  <c r="C156" i="1"/>
  <c r="BZ154" i="1" s="1"/>
  <c r="C153" i="1"/>
  <c r="BZ151" i="1" s="1"/>
  <c r="C150" i="1"/>
  <c r="BZ148" i="1" s="1"/>
  <c r="C147" i="1"/>
  <c r="BZ145" i="1" s="1"/>
  <c r="C144" i="1"/>
  <c r="BZ142" i="1" s="1"/>
  <c r="C141" i="1"/>
  <c r="BZ139" i="1" s="1"/>
  <c r="C138" i="1"/>
  <c r="BZ136" i="1" s="1"/>
  <c r="C135" i="1"/>
  <c r="BZ133" i="1" s="1"/>
  <c r="C132" i="1"/>
  <c r="BZ130" i="1" s="1"/>
  <c r="C129" i="1"/>
  <c r="BZ127" i="1" s="1"/>
  <c r="C126" i="1"/>
  <c r="BZ124" i="1" s="1"/>
  <c r="C123" i="1"/>
  <c r="BZ121" i="1" s="1"/>
  <c r="C120" i="1"/>
  <c r="BZ118" i="1" s="1"/>
  <c r="C117" i="1"/>
  <c r="BZ115" i="1" s="1"/>
  <c r="C114" i="1"/>
  <c r="BZ112" i="1" s="1"/>
  <c r="C111" i="1"/>
  <c r="BZ109" i="1" s="1"/>
  <c r="C108" i="1"/>
  <c r="BZ106" i="1" s="1"/>
  <c r="C105" i="1"/>
  <c r="BZ103" i="1" s="1"/>
  <c r="C102" i="1"/>
  <c r="BZ100" i="1" s="1"/>
  <c r="C99" i="1"/>
  <c r="BZ97" i="1" s="1"/>
  <c r="C96" i="1"/>
  <c r="BZ94" i="1" s="1"/>
  <c r="C93" i="1"/>
  <c r="BZ91" i="1" s="1"/>
  <c r="C90" i="1"/>
  <c r="BZ88" i="1" s="1"/>
  <c r="C87" i="1"/>
  <c r="BZ85" i="1" s="1"/>
  <c r="C84" i="1"/>
  <c r="BZ82" i="1" s="1"/>
  <c r="C81" i="1"/>
  <c r="BZ79" i="1" s="1"/>
  <c r="C78" i="1"/>
  <c r="BZ76" i="1" s="1"/>
  <c r="C75" i="1"/>
  <c r="BZ73" i="1" s="1"/>
  <c r="C72" i="1"/>
  <c r="BZ70" i="1" s="1"/>
  <c r="C69" i="1"/>
  <c r="BZ67" i="1" s="1"/>
  <c r="C66" i="1"/>
  <c r="BZ64" i="1" s="1"/>
  <c r="C63" i="1"/>
  <c r="BZ61" i="1" s="1"/>
  <c r="C60" i="1"/>
  <c r="BZ58" i="1" s="1"/>
  <c r="A166" i="1"/>
  <c r="A163" i="1" s="1"/>
  <c r="A160" i="1" s="1"/>
  <c r="A157" i="1" s="1"/>
  <c r="A154" i="1" s="1"/>
  <c r="A151" i="1" s="1"/>
  <c r="A148" i="1" s="1"/>
  <c r="A145" i="1" s="1"/>
  <c r="A142" i="1" s="1"/>
  <c r="A139" i="1" s="1"/>
  <c r="A136" i="1" s="1"/>
  <c r="A133" i="1" s="1"/>
  <c r="A130" i="1" s="1"/>
  <c r="A127" i="1" s="1"/>
  <c r="A124" i="1" s="1"/>
  <c r="A121" i="1" s="1"/>
  <c r="A118" i="1" s="1"/>
  <c r="A115" i="1" s="1"/>
  <c r="A112" i="1" s="1"/>
  <c r="A109" i="1" s="1"/>
  <c r="A106" i="1" s="1"/>
  <c r="A103" i="1" s="1"/>
  <c r="A100" i="1" s="1"/>
  <c r="A97" i="1" s="1"/>
  <c r="A94" i="1" s="1"/>
  <c r="A91" i="1" s="1"/>
  <c r="A88" i="1" s="1"/>
  <c r="A85" i="1" s="1"/>
  <c r="A82" i="1" s="1"/>
  <c r="A79" i="1" s="1"/>
  <c r="A76" i="1" s="1"/>
  <c r="A73" i="1" s="1"/>
  <c r="A70" i="1" s="1"/>
  <c r="A67" i="1" s="1"/>
  <c r="A64" i="1" s="1"/>
  <c r="A61" i="1" s="1"/>
  <c r="A58" i="1" s="1"/>
  <c r="A55" i="1" s="1"/>
  <c r="A52" i="1" s="1"/>
  <c r="BY43" i="1" l="1"/>
  <c r="BY97" i="1"/>
  <c r="BY52" i="1"/>
  <c r="BY49" i="1"/>
  <c r="BV39" i="1"/>
  <c r="AQ16" i="1" s="1"/>
  <c r="BU39" i="1"/>
  <c r="AH16" i="1" s="1"/>
  <c r="BR39" i="1"/>
  <c r="G16" i="1" s="1"/>
  <c r="BW39" i="1"/>
  <c r="AZ16" i="1" s="1"/>
  <c r="BY94" i="1"/>
  <c r="BY142" i="1"/>
  <c r="BY73" i="1"/>
  <c r="BY121" i="1"/>
  <c r="BY40" i="1"/>
  <c r="BY76" i="1"/>
  <c r="BY100" i="1"/>
  <c r="BY124" i="1"/>
  <c r="BY148" i="1"/>
  <c r="BY55" i="1"/>
  <c r="BY79" i="1"/>
  <c r="BY103" i="1"/>
  <c r="BY127" i="1"/>
  <c r="BY151" i="1"/>
  <c r="BY70" i="1"/>
  <c r="BY118" i="1"/>
  <c r="BY166" i="1"/>
  <c r="BY145" i="1"/>
  <c r="BY169" i="1"/>
  <c r="BY58" i="1"/>
  <c r="BY82" i="1"/>
  <c r="BY106" i="1"/>
  <c r="BY130" i="1"/>
  <c r="BY154" i="1"/>
  <c r="BY61" i="1"/>
  <c r="BY85" i="1"/>
  <c r="BY109" i="1"/>
  <c r="BY133" i="1"/>
  <c r="BY157" i="1"/>
  <c r="BY64" i="1"/>
  <c r="BY88" i="1"/>
  <c r="BY112" i="1"/>
  <c r="BY136" i="1"/>
  <c r="BY160" i="1"/>
  <c r="BY67" i="1"/>
  <c r="BY91" i="1"/>
  <c r="BY115" i="1"/>
  <c r="BY139" i="1"/>
  <c r="BY163" i="1"/>
</calcChain>
</file>

<file path=xl/sharedStrings.xml><?xml version="1.0" encoding="utf-8"?>
<sst xmlns="http://schemas.openxmlformats.org/spreadsheetml/2006/main" count="611" uniqueCount="294">
  <si>
    <t>ふりがな</t>
    <phoneticPr fontId="2"/>
  </si>
  <si>
    <t>性別</t>
    <rPh sb="0" eb="2">
      <t>セイベツ</t>
    </rPh>
    <phoneticPr fontId="2"/>
  </si>
  <si>
    <t>男</t>
    <rPh sb="0" eb="1">
      <t>オトコ</t>
    </rPh>
    <phoneticPr fontId="2"/>
  </si>
  <si>
    <t>最終学籍</t>
    <rPh sb="0" eb="2">
      <t>サイシュウ</t>
    </rPh>
    <rPh sb="2" eb="4">
      <t>ガクセキ</t>
    </rPh>
    <phoneticPr fontId="2"/>
  </si>
  <si>
    <t>情報系専門学校</t>
    <rPh sb="0" eb="3">
      <t>ジョウホウケイ</t>
    </rPh>
    <rPh sb="3" eb="5">
      <t>センモン</t>
    </rPh>
    <rPh sb="5" eb="7">
      <t>ガッコウ</t>
    </rPh>
    <phoneticPr fontId="2"/>
  </si>
  <si>
    <t>最寄駅</t>
    <rPh sb="0" eb="3">
      <t>モヨリエキ</t>
    </rPh>
    <phoneticPr fontId="2"/>
  </si>
  <si>
    <t>JR京葉線　蘇我</t>
    <rPh sb="2" eb="5">
      <t>ケイヨウセン</t>
    </rPh>
    <rPh sb="6" eb="8">
      <t>ソガ</t>
    </rPh>
    <phoneticPr fontId="2"/>
  </si>
  <si>
    <t>氏名</t>
    <rPh sb="0" eb="2">
      <t>シメイ</t>
    </rPh>
    <phoneticPr fontId="2"/>
  </si>
  <si>
    <t>年齢</t>
    <rPh sb="0" eb="2">
      <t>ネンレイ</t>
    </rPh>
    <phoneticPr fontId="2"/>
  </si>
  <si>
    <t>卒業年</t>
    <rPh sb="0" eb="2">
      <t>ソツギョウ</t>
    </rPh>
    <rPh sb="2" eb="3">
      <t>ネン</t>
    </rPh>
    <phoneticPr fontId="2"/>
  </si>
  <si>
    <t>1989年(平成元年)</t>
    <rPh sb="4" eb="5">
      <t>ネン</t>
    </rPh>
    <rPh sb="6" eb="8">
      <t>ヘイセイ</t>
    </rPh>
    <rPh sb="8" eb="10">
      <t>ガンネン</t>
    </rPh>
    <phoneticPr fontId="2"/>
  </si>
  <si>
    <t>国籍</t>
    <rPh sb="0" eb="2">
      <t>コクセキ</t>
    </rPh>
    <phoneticPr fontId="2"/>
  </si>
  <si>
    <t>日本</t>
    <rPh sb="0" eb="2">
      <t>ニホン</t>
    </rPh>
    <phoneticPr fontId="2"/>
  </si>
  <si>
    <t>得意分野</t>
    <rPh sb="0" eb="2">
      <t>トクイ</t>
    </rPh>
    <rPh sb="2" eb="4">
      <t>ブンヤ</t>
    </rPh>
    <phoneticPr fontId="2"/>
  </si>
  <si>
    <t>■工程</t>
    <rPh sb="1" eb="3">
      <t>コウテイ</t>
    </rPh>
    <phoneticPr fontId="2"/>
  </si>
  <si>
    <t>■役割</t>
    <rPh sb="1" eb="3">
      <t>ヤクワリ</t>
    </rPh>
    <phoneticPr fontId="2"/>
  </si>
  <si>
    <t>ＰＭ、リーダー、ＰＭＯ（管理・指揮）</t>
    <phoneticPr fontId="2"/>
  </si>
  <si>
    <t>アピールポイント</t>
    <phoneticPr fontId="2"/>
  </si>
  <si>
    <t>ITベンダー、コンサルファーム商流から複数の中～大規模プロジェクトへ、ユーザ側・ベンダ側の両面の立ち位置で参画</t>
    <rPh sb="22" eb="23">
      <t>チュウ</t>
    </rPh>
    <rPh sb="24" eb="27">
      <t>ダイキボ</t>
    </rPh>
    <rPh sb="53" eb="55">
      <t>サンカクリョウメン</t>
    </rPh>
    <phoneticPr fontId="2"/>
  </si>
  <si>
    <t>自身で、業務アプリ開発、パッケージ製品開発経験</t>
    <rPh sb="0" eb="2">
      <t>ジシン</t>
    </rPh>
    <rPh sb="4" eb="6">
      <t>ギョウム</t>
    </rPh>
    <rPh sb="9" eb="11">
      <t>カイハツ</t>
    </rPh>
    <rPh sb="17" eb="21">
      <t>セイヒンカイハツ</t>
    </rPh>
    <rPh sb="21" eb="23">
      <t>ケイケン</t>
    </rPh>
    <phoneticPr fontId="2"/>
  </si>
  <si>
    <t>チームリーダーとして、成果物レビュー、内部・外部関係者との調整、配下メンバー管理の経験豊富</t>
    <rPh sb="11" eb="14">
      <t>セイカブツ</t>
    </rPh>
    <rPh sb="19" eb="21">
      <t>ナイブ</t>
    </rPh>
    <rPh sb="22" eb="24">
      <t>ガイブ</t>
    </rPh>
    <rPh sb="24" eb="27">
      <t>カンケイシャ</t>
    </rPh>
    <rPh sb="29" eb="31">
      <t>チョウセイ</t>
    </rPh>
    <rPh sb="32" eb="34">
      <t>ハイカ</t>
    </rPh>
    <rPh sb="38" eb="40">
      <t>カンリ</t>
    </rPh>
    <rPh sb="41" eb="45">
      <t>ケイケンホウフ</t>
    </rPh>
    <phoneticPr fontId="2"/>
  </si>
  <si>
    <t>環境は、クラウド・Linux・メインフレームまで、様々な開発環境を経験</t>
    <rPh sb="0" eb="2">
      <t>カンキョウ</t>
    </rPh>
    <rPh sb="25" eb="27">
      <t>サマザマ</t>
    </rPh>
    <rPh sb="28" eb="30">
      <t>カイハツ</t>
    </rPh>
    <rPh sb="30" eb="32">
      <t>カンキョウ</t>
    </rPh>
    <rPh sb="33" eb="35">
      <t>ケイケン</t>
    </rPh>
    <phoneticPr fontId="2"/>
  </si>
  <si>
    <t>業種は、小売、保険（生保・損保）、金融（メガバンク・クレジット）、商社、鉄道事業（電子マネー）など様々な業種を経験</t>
    <rPh sb="0" eb="2">
      <t>ギョウシュ</t>
    </rPh>
    <rPh sb="17" eb="19">
      <t>キンユウ</t>
    </rPh>
    <rPh sb="33" eb="35">
      <t>ショウシャ</t>
    </rPh>
    <rPh sb="36" eb="38">
      <t>テツドウ</t>
    </rPh>
    <rPh sb="38" eb="40">
      <t>ジギョウ</t>
    </rPh>
    <rPh sb="41" eb="43">
      <t>デンシ</t>
    </rPh>
    <rPh sb="49" eb="51">
      <t>サマザマ</t>
    </rPh>
    <rPh sb="52" eb="54">
      <t>ギョウシュ</t>
    </rPh>
    <rPh sb="55" eb="57">
      <t>ケイケン</t>
    </rPh>
    <phoneticPr fontId="2"/>
  </si>
  <si>
    <t>《　スキルサマリー　》</t>
    <phoneticPr fontId="2"/>
  </si>
  <si>
    <t>担当領域</t>
    <rPh sb="0" eb="2">
      <t>タントウ</t>
    </rPh>
    <rPh sb="2" eb="4">
      <t>リョウイキ</t>
    </rPh>
    <phoneticPr fontId="2"/>
  </si>
  <si>
    <t>企画</t>
    <phoneticPr fontId="2"/>
  </si>
  <si>
    <t>ＰＭ</t>
    <phoneticPr fontId="2"/>
  </si>
  <si>
    <t>ＰＭＯ</t>
    <phoneticPr fontId="2"/>
  </si>
  <si>
    <t>テスト管理</t>
    <rPh sb="3" eb="5">
      <t>カンリ</t>
    </rPh>
    <phoneticPr fontId="2"/>
  </si>
  <si>
    <t>設計</t>
    <rPh sb="0" eb="2">
      <t>セッケイ</t>
    </rPh>
    <phoneticPr fontId="2"/>
  </si>
  <si>
    <t>PG開発</t>
    <rPh sb="2" eb="4">
      <t>カイハツ</t>
    </rPh>
    <phoneticPr fontId="2"/>
  </si>
  <si>
    <t>ポジション</t>
    <phoneticPr fontId="2"/>
  </si>
  <si>
    <t>リーダー</t>
    <phoneticPr fontId="2"/>
  </si>
  <si>
    <t>メンバー</t>
    <phoneticPr fontId="2"/>
  </si>
  <si>
    <t>プロジェクト規模</t>
    <rPh sb="6" eb="8">
      <t>キボ</t>
    </rPh>
    <phoneticPr fontId="2"/>
  </si>
  <si>
    <t>大規模(1000人超え)</t>
    <rPh sb="0" eb="3">
      <t>ダイキボ</t>
    </rPh>
    <rPh sb="8" eb="9">
      <t>ヒト</t>
    </rPh>
    <rPh sb="9" eb="10">
      <t>コ</t>
    </rPh>
    <phoneticPr fontId="2"/>
  </si>
  <si>
    <t>大規模(～1000人)</t>
    <rPh sb="0" eb="3">
      <t>ダイキボ</t>
    </rPh>
    <rPh sb="9" eb="10">
      <t>ヒト</t>
    </rPh>
    <phoneticPr fontId="2"/>
  </si>
  <si>
    <t>中規模(～500人)</t>
    <rPh sb="0" eb="3">
      <t>チュウキボ</t>
    </rPh>
    <rPh sb="8" eb="9">
      <t>ヒト</t>
    </rPh>
    <phoneticPr fontId="2"/>
  </si>
  <si>
    <t>中規模(～100人)</t>
    <rPh sb="0" eb="3">
      <t>チュウキボ</t>
    </rPh>
    <rPh sb="8" eb="9">
      <t>ヒト</t>
    </rPh>
    <phoneticPr fontId="2"/>
  </si>
  <si>
    <t>小規模(～50人)</t>
    <rPh sb="0" eb="3">
      <t>ショウキボ</t>
    </rPh>
    <rPh sb="7" eb="8">
      <t>ヒト</t>
    </rPh>
    <phoneticPr fontId="2"/>
  </si>
  <si>
    <t>●</t>
  </si>
  <si>
    <t>●</t>
    <phoneticPr fontId="2"/>
  </si>
  <si>
    <t>業種</t>
    <rPh sb="0" eb="2">
      <t>ギョウシュ</t>
    </rPh>
    <phoneticPr fontId="2"/>
  </si>
  <si>
    <t>金融</t>
    <rPh sb="0" eb="2">
      <t>キンユウ</t>
    </rPh>
    <phoneticPr fontId="2"/>
  </si>
  <si>
    <t>流通・小売り</t>
    <rPh sb="0" eb="2">
      <t>リュウツウ</t>
    </rPh>
    <rPh sb="3" eb="5">
      <t>コウ</t>
    </rPh>
    <phoneticPr fontId="2"/>
  </si>
  <si>
    <t>保険</t>
    <rPh sb="0" eb="2">
      <t>ホケン</t>
    </rPh>
    <phoneticPr fontId="2"/>
  </si>
  <si>
    <t>通信</t>
    <rPh sb="0" eb="2">
      <t>ツウシン</t>
    </rPh>
    <phoneticPr fontId="2"/>
  </si>
  <si>
    <t>その他</t>
    <rPh sb="2" eb="3">
      <t>タ</t>
    </rPh>
    <phoneticPr fontId="2"/>
  </si>
  <si>
    <t>銀行</t>
    <rPh sb="0" eb="2">
      <t>ギンコウ</t>
    </rPh>
    <phoneticPr fontId="2"/>
  </si>
  <si>
    <t>クレジット</t>
    <phoneticPr fontId="2"/>
  </si>
  <si>
    <t>電子マネー</t>
    <rPh sb="0" eb="2">
      <t>デンシ</t>
    </rPh>
    <phoneticPr fontId="2"/>
  </si>
  <si>
    <t>証券</t>
    <rPh sb="0" eb="2">
      <t>ショウケン</t>
    </rPh>
    <phoneticPr fontId="2"/>
  </si>
  <si>
    <t>ＥＣ</t>
    <phoneticPr fontId="2"/>
  </si>
  <si>
    <t>小売総合</t>
    <rPh sb="0" eb="2">
      <t>コウリ</t>
    </rPh>
    <rPh sb="2" eb="4">
      <t>ソウゴウ</t>
    </rPh>
    <phoneticPr fontId="2"/>
  </si>
  <si>
    <t>衣類、他</t>
    <rPh sb="0" eb="2">
      <t>イルイ</t>
    </rPh>
    <rPh sb="3" eb="4">
      <t>ホカ</t>
    </rPh>
    <phoneticPr fontId="2"/>
  </si>
  <si>
    <t>生保</t>
    <rPh sb="0" eb="2">
      <t>セイホ</t>
    </rPh>
    <phoneticPr fontId="2"/>
  </si>
  <si>
    <t>損保</t>
    <rPh sb="0" eb="2">
      <t>ソンポ</t>
    </rPh>
    <phoneticPr fontId="2"/>
  </si>
  <si>
    <t>ネット保険</t>
    <rPh sb="3" eb="5">
      <t>ホケン</t>
    </rPh>
    <phoneticPr fontId="2"/>
  </si>
  <si>
    <t>固定電話</t>
    <rPh sb="0" eb="2">
      <t>コテイ</t>
    </rPh>
    <rPh sb="2" eb="4">
      <t>デンワ</t>
    </rPh>
    <phoneticPr fontId="2"/>
  </si>
  <si>
    <t>携帯電話</t>
    <rPh sb="0" eb="2">
      <t>ケイタイ</t>
    </rPh>
    <rPh sb="2" eb="4">
      <t>デンワ</t>
    </rPh>
    <phoneticPr fontId="2"/>
  </si>
  <si>
    <t>基地局</t>
    <rPh sb="0" eb="3">
      <t>キチキョク</t>
    </rPh>
    <phoneticPr fontId="2"/>
  </si>
  <si>
    <t>端末</t>
    <rPh sb="0" eb="2">
      <t>タンマツ</t>
    </rPh>
    <phoneticPr fontId="2"/>
  </si>
  <si>
    <t>ITメーカー</t>
    <phoneticPr fontId="2"/>
  </si>
  <si>
    <t>公共</t>
    <rPh sb="0" eb="2">
      <t>コウキョウ</t>
    </rPh>
    <phoneticPr fontId="2"/>
  </si>
  <si>
    <t>エンタメ</t>
    <phoneticPr fontId="2"/>
  </si>
  <si>
    <t>ゲーム</t>
    <phoneticPr fontId="2"/>
  </si>
  <si>
    <t>－</t>
    <phoneticPr fontId="2"/>
  </si>
  <si>
    <t>分野</t>
    <rPh sb="0" eb="2">
      <t>ブンヤ</t>
    </rPh>
    <phoneticPr fontId="2"/>
  </si>
  <si>
    <t>基幹システム構築</t>
    <rPh sb="0" eb="2">
      <t>キカン</t>
    </rPh>
    <rPh sb="6" eb="8">
      <t>コウチク</t>
    </rPh>
    <phoneticPr fontId="2"/>
  </si>
  <si>
    <t>システム移行</t>
    <rPh sb="4" eb="6">
      <t>イコウ</t>
    </rPh>
    <phoneticPr fontId="2"/>
  </si>
  <si>
    <t>業務アプリ開発</t>
    <rPh sb="0" eb="2">
      <t>ギョウム</t>
    </rPh>
    <rPh sb="5" eb="7">
      <t>カイハツ</t>
    </rPh>
    <phoneticPr fontId="2"/>
  </si>
  <si>
    <t>パッケージ導入</t>
    <rPh sb="5" eb="7">
      <t>ドウニュウ</t>
    </rPh>
    <phoneticPr fontId="2"/>
  </si>
  <si>
    <t>運用</t>
    <rPh sb="0" eb="2">
      <t>ウンヨウ</t>
    </rPh>
    <phoneticPr fontId="2"/>
  </si>
  <si>
    <t>ユーティリティソフト開発</t>
    <rPh sb="10" eb="12">
      <t>カイハツ</t>
    </rPh>
    <phoneticPr fontId="2"/>
  </si>
  <si>
    <t>インフラ構築</t>
    <rPh sb="4" eb="6">
      <t>コウチク</t>
    </rPh>
    <phoneticPr fontId="2"/>
  </si>
  <si>
    <t>携帯アプリ開発</t>
    <rPh sb="0" eb="2">
      <t>ケイタイ</t>
    </rPh>
    <rPh sb="5" eb="7">
      <t>カイハツ</t>
    </rPh>
    <phoneticPr fontId="2"/>
  </si>
  <si>
    <t>SAP</t>
    <phoneticPr fontId="2"/>
  </si>
  <si>
    <t>OS・ツール類</t>
    <rPh sb="6" eb="7">
      <t>ルイ</t>
    </rPh>
    <phoneticPr fontId="2"/>
  </si>
  <si>
    <t>OS(メインフレーム系)</t>
    <rPh sb="10" eb="11">
      <t>ケイ</t>
    </rPh>
    <phoneticPr fontId="2"/>
  </si>
  <si>
    <t>OS(Windows、Unix系)</t>
    <rPh sb="15" eb="16">
      <t>ケイ</t>
    </rPh>
    <phoneticPr fontId="2"/>
  </si>
  <si>
    <t>クラウドサービス</t>
    <phoneticPr fontId="2"/>
  </si>
  <si>
    <t>ＤＢ</t>
    <phoneticPr fontId="2"/>
  </si>
  <si>
    <t>管理系</t>
    <rPh sb="0" eb="2">
      <t>カンリ</t>
    </rPh>
    <rPh sb="2" eb="3">
      <t>ケイ</t>
    </rPh>
    <phoneticPr fontId="2"/>
  </si>
  <si>
    <t>IBM</t>
    <phoneticPr fontId="2"/>
  </si>
  <si>
    <t>富士通</t>
    <rPh sb="0" eb="3">
      <t>フジツウ</t>
    </rPh>
    <phoneticPr fontId="2"/>
  </si>
  <si>
    <t>日立</t>
    <rPh sb="0" eb="2">
      <t>ヒタチ</t>
    </rPh>
    <phoneticPr fontId="2"/>
  </si>
  <si>
    <t>WinServer</t>
    <phoneticPr fontId="2"/>
  </si>
  <si>
    <t>Redhat</t>
    <phoneticPr fontId="2"/>
  </si>
  <si>
    <t>HP-UX</t>
    <phoneticPr fontId="2"/>
  </si>
  <si>
    <t>Solaris</t>
    <phoneticPr fontId="2"/>
  </si>
  <si>
    <t>Azure</t>
    <phoneticPr fontId="2"/>
  </si>
  <si>
    <t>AWS</t>
    <phoneticPr fontId="2"/>
  </si>
  <si>
    <t>GCP</t>
    <phoneticPr fontId="2"/>
  </si>
  <si>
    <t>SQLServer</t>
    <phoneticPr fontId="2"/>
  </si>
  <si>
    <t>Oracle</t>
    <phoneticPr fontId="2"/>
  </si>
  <si>
    <t>PostgreSQL</t>
    <phoneticPr fontId="2"/>
  </si>
  <si>
    <t>JP1</t>
    <phoneticPr fontId="2"/>
  </si>
  <si>
    <t>SVN</t>
    <phoneticPr fontId="2"/>
  </si>
  <si>
    <t>Redmine</t>
    <phoneticPr fontId="2"/>
  </si>
  <si>
    <t>Slack</t>
    <phoneticPr fontId="2"/>
  </si>
  <si>
    <t>業　務　経　歴（新しい順）</t>
    <rPh sb="0" eb="1">
      <t>ギョウ</t>
    </rPh>
    <rPh sb="2" eb="3">
      <t>ツトム</t>
    </rPh>
    <rPh sb="4" eb="5">
      <t>キョウ</t>
    </rPh>
    <rPh sb="6" eb="7">
      <t>レキ</t>
    </rPh>
    <phoneticPr fontId="2"/>
  </si>
  <si>
    <t>№</t>
    <phoneticPr fontId="2"/>
  </si>
  <si>
    <t>期間
&lt;月数&gt;</t>
    <rPh sb="0" eb="2">
      <t>キカン</t>
    </rPh>
    <rPh sb="4" eb="6">
      <t>ツキスウ</t>
    </rPh>
    <phoneticPr fontId="2"/>
  </si>
  <si>
    <t>案件概要</t>
    <rPh sb="0" eb="2">
      <t>アンケン</t>
    </rPh>
    <rPh sb="2" eb="4">
      <t>ガイヨウ</t>
    </rPh>
    <phoneticPr fontId="2"/>
  </si>
  <si>
    <r>
      <rPr>
        <b/>
        <sz val="8"/>
        <rFont val="Meiryo UI"/>
        <family val="3"/>
        <charset val="128"/>
      </rPr>
      <t>プロジェクト</t>
    </r>
    <r>
      <rPr>
        <b/>
        <sz val="11"/>
        <rFont val="Meiryo UI"/>
        <family val="3"/>
        <charset val="128"/>
      </rPr>
      <t xml:space="preserve">
規模</t>
    </r>
    <rPh sb="7" eb="9">
      <t>キボ</t>
    </rPh>
    <phoneticPr fontId="2"/>
  </si>
  <si>
    <t>担当
領域</t>
    <rPh sb="0" eb="2">
      <t>タントウ</t>
    </rPh>
    <rPh sb="3" eb="5">
      <t>リョウイキ</t>
    </rPh>
    <phoneticPr fontId="2"/>
  </si>
  <si>
    <t>プロジェクト概要
対応内容</t>
    <rPh sb="9" eb="11">
      <t>タイオウ</t>
    </rPh>
    <rPh sb="11" eb="13">
      <t>ナイヨウ</t>
    </rPh>
    <phoneticPr fontId="2"/>
  </si>
  <si>
    <t>OS・DB・開発言語
管理ツール等</t>
    <rPh sb="6" eb="8">
      <t>カイハツ</t>
    </rPh>
    <rPh sb="8" eb="10">
      <t>ゲンゴ</t>
    </rPh>
    <rPh sb="11" eb="13">
      <t>カンリ</t>
    </rPh>
    <rPh sb="16" eb="17">
      <t>ナド</t>
    </rPh>
    <phoneticPr fontId="2"/>
  </si>
  <si>
    <t>ポジジョン</t>
    <phoneticPr fontId="2"/>
  </si>
  <si>
    <t>工程</t>
    <rPh sb="0" eb="2">
      <t>コウテイ</t>
    </rPh>
    <phoneticPr fontId="2"/>
  </si>
  <si>
    <t>備考</t>
    <rPh sb="0" eb="2">
      <t>ビコウ</t>
    </rPh>
    <phoneticPr fontId="2"/>
  </si>
  <si>
    <t>企画・計画</t>
    <rPh sb="0" eb="2">
      <t>キカク</t>
    </rPh>
    <rPh sb="3" eb="5">
      <t>ケイカク</t>
    </rPh>
    <phoneticPr fontId="2"/>
  </si>
  <si>
    <t>要件定義</t>
    <rPh sb="0" eb="2">
      <t>ヨウケン</t>
    </rPh>
    <rPh sb="2" eb="4">
      <t>テイギ</t>
    </rPh>
    <phoneticPr fontId="2"/>
  </si>
  <si>
    <t>基本設計</t>
    <rPh sb="0" eb="2">
      <t>キホン</t>
    </rPh>
    <rPh sb="2" eb="4">
      <t>セッケイ</t>
    </rPh>
    <phoneticPr fontId="2"/>
  </si>
  <si>
    <t>詳細設計</t>
    <rPh sb="0" eb="2">
      <t>ショウサイ</t>
    </rPh>
    <rPh sb="2" eb="4">
      <t>セッケイ</t>
    </rPh>
    <phoneticPr fontId="2"/>
  </si>
  <si>
    <t>製造・単体テスト</t>
    <rPh sb="0" eb="2">
      <t>セイゾウ</t>
    </rPh>
    <rPh sb="3" eb="5">
      <t>タンタイ</t>
    </rPh>
    <phoneticPr fontId="2"/>
  </si>
  <si>
    <t>結合テスト</t>
    <rPh sb="0" eb="2">
      <t>ケツゴウ</t>
    </rPh>
    <phoneticPr fontId="2"/>
  </si>
  <si>
    <t>システムテスト</t>
    <phoneticPr fontId="2"/>
  </si>
  <si>
    <t>UAT</t>
    <phoneticPr fontId="2"/>
  </si>
  <si>
    <t>移行</t>
    <rPh sb="0" eb="2">
      <t>イコウ</t>
    </rPh>
    <phoneticPr fontId="2"/>
  </si>
  <si>
    <t>保守・運用</t>
    <rPh sb="0" eb="2">
      <t>ホシュ</t>
    </rPh>
    <rPh sb="3" eb="5">
      <t>ウンヨウ</t>
    </rPh>
    <phoneticPr fontId="2"/>
  </si>
  <si>
    <t>マネージャー</t>
    <phoneticPr fontId="2"/>
  </si>
  <si>
    <t>PM</t>
    <phoneticPr fontId="2"/>
  </si>
  <si>
    <t>PMO</t>
    <phoneticPr fontId="2"/>
  </si>
  <si>
    <t>チェック用</t>
    <rPh sb="4" eb="5">
      <t>ヨウ</t>
    </rPh>
    <phoneticPr fontId="2"/>
  </si>
  <si>
    <t>小売</t>
    <rPh sb="0" eb="2">
      <t>コウ</t>
    </rPh>
    <phoneticPr fontId="2"/>
  </si>
  <si>
    <t>社内ITサポートチーム立ち上げ</t>
    <rPh sb="0" eb="2">
      <t>シャナイ</t>
    </rPh>
    <rPh sb="11" eb="12">
      <t>タ</t>
    </rPh>
    <rPh sb="13" eb="14">
      <t>ア</t>
    </rPh>
    <phoneticPr fontId="2"/>
  </si>
  <si>
    <t>企画</t>
    <rPh sb="0" eb="2">
      <t>キカク</t>
    </rPh>
    <phoneticPr fontId="2"/>
  </si>
  <si>
    <t>国内IT系コンサルファームメンバーとして参画</t>
    <rPh sb="0" eb="2">
      <t>コクナイ</t>
    </rPh>
    <rPh sb="4" eb="5">
      <t>ケイ</t>
    </rPh>
    <rPh sb="20" eb="22">
      <t>サンカク</t>
    </rPh>
    <phoneticPr fontId="2"/>
  </si>
  <si>
    <t>現行ホスト クラウド移行
モダナイゼーション</t>
    <rPh sb="0" eb="2">
      <t>ゲンコウ</t>
    </rPh>
    <rPh sb="10" eb="12">
      <t>イコウ</t>
    </rPh>
    <phoneticPr fontId="2"/>
  </si>
  <si>
    <t>メインフレームからのクラウド移行プロジェクト
プロジェクト全般に関わる推進（特にテスト関わる推進）
プロジェクト全体会議ファシリティー、課題管理</t>
    <rPh sb="14" eb="16">
      <t>イコウ</t>
    </rPh>
    <rPh sb="29" eb="31">
      <t>ゼンパン</t>
    </rPh>
    <rPh sb="32" eb="33">
      <t>カカ</t>
    </rPh>
    <rPh sb="35" eb="37">
      <t>スイシン</t>
    </rPh>
    <rPh sb="38" eb="39">
      <t>トク</t>
    </rPh>
    <rPh sb="43" eb="44">
      <t>カカ</t>
    </rPh>
    <rPh sb="46" eb="48">
      <t>スイシン</t>
    </rPh>
    <rPh sb="56" eb="60">
      <t>ゼンタイカイギ</t>
    </rPh>
    <phoneticPr fontId="2"/>
  </si>
  <si>
    <t>IBMホスト(z/OS)
Windows(Azure)
Redmine</t>
    <phoneticPr fontId="2"/>
  </si>
  <si>
    <t>外資系コンサルファームメンバーとして参画</t>
    <rPh sb="0" eb="3">
      <t>ガイシケイ</t>
    </rPh>
    <rPh sb="18" eb="20">
      <t>サンカク</t>
    </rPh>
    <phoneticPr fontId="2"/>
  </si>
  <si>
    <t>小売</t>
    <rPh sb="0" eb="2">
      <t>コウリ</t>
    </rPh>
    <phoneticPr fontId="2"/>
  </si>
  <si>
    <t>ECサイトリニューアル</t>
    <phoneticPr fontId="2"/>
  </si>
  <si>
    <t>ECサイト(BtoB)リニューアルプロジェクト
請負プライマリーベンダーＰＭ支援としてプロジェクト推進を担当
再委託先4社と内製チーム取り纏め
上位会社向け報告、課題管理
規模（画面:500、バッチ:200、I/F:100、DB:200）</t>
    <rPh sb="24" eb="26">
      <t>ウケオイ</t>
    </rPh>
    <rPh sb="49" eb="51">
      <t>スイシン</t>
    </rPh>
    <rPh sb="52" eb="54">
      <t>タントウ</t>
    </rPh>
    <rPh sb="55" eb="59">
      <t>サイイタクサキ</t>
    </rPh>
    <rPh sb="76" eb="77">
      <t>ム</t>
    </rPh>
    <rPh sb="78" eb="80">
      <t>ホウコク</t>
    </rPh>
    <phoneticPr fontId="2"/>
  </si>
  <si>
    <t>AWS
PostgreSQL
SVN(Subversion)
Backlog
Redmine
Confluence</t>
    <phoneticPr fontId="2"/>
  </si>
  <si>
    <t>金融
クレジット</t>
    <rPh sb="0" eb="2">
      <t>キンユウ</t>
    </rPh>
    <phoneticPr fontId="2"/>
  </si>
  <si>
    <t>基幹システム再構築</t>
    <rPh sb="0" eb="2">
      <t>キカン</t>
    </rPh>
    <rPh sb="6" eb="9">
      <t>サイコウチク</t>
    </rPh>
    <phoneticPr fontId="2"/>
  </si>
  <si>
    <t>メインフレームからのクラウド移行プロジェクト
全体テスト推進
全体テスト計画、テスト実施計画、品質計画策定
規模（画面:1,000、バッチ:6,000、I/F:12,000）</t>
    <rPh sb="23" eb="25">
      <t>ゼンタイ</t>
    </rPh>
    <rPh sb="28" eb="30">
      <t>スイシン</t>
    </rPh>
    <rPh sb="31" eb="33">
      <t>ゼンタイ</t>
    </rPh>
    <rPh sb="36" eb="38">
      <t>ケイカク</t>
    </rPh>
    <rPh sb="42" eb="44">
      <t>ジッシ</t>
    </rPh>
    <rPh sb="44" eb="46">
      <t>ケイカク</t>
    </rPh>
    <rPh sb="47" eb="49">
      <t>ヒンシツ</t>
    </rPh>
    <rPh sb="49" eb="51">
      <t>ケイカク</t>
    </rPh>
    <rPh sb="51" eb="53">
      <t>サクテイ</t>
    </rPh>
    <phoneticPr fontId="2"/>
  </si>
  <si>
    <t>富士通ホスト(MSP)
ADABAS
Linux(RHEL)
Oracle
HULFT</t>
    <rPh sb="0" eb="3">
      <t>フジツウ</t>
    </rPh>
    <phoneticPr fontId="2"/>
  </si>
  <si>
    <t>小売り
総合</t>
    <rPh sb="0" eb="2">
      <t>コウ</t>
    </rPh>
    <phoneticPr fontId="2"/>
  </si>
  <si>
    <t>基幹システム再構築
ＤＸ推進</t>
    <rPh sb="0" eb="2">
      <t>キカン</t>
    </rPh>
    <rPh sb="6" eb="9">
      <t>サイコウチク</t>
    </rPh>
    <rPh sb="12" eb="14">
      <t>スイシン</t>
    </rPh>
    <phoneticPr fontId="2"/>
  </si>
  <si>
    <t>国内最大手総合小売企業 DX推進プロジェクト
（メインフレームからのクラウド移行領域担当）
システムテスト工程遅延立て直し、推進</t>
    <rPh sb="0" eb="2">
      <t>コクナイ</t>
    </rPh>
    <rPh sb="2" eb="5">
      <t>サイオオテ</t>
    </rPh>
    <rPh sb="5" eb="7">
      <t>ソウゴウ</t>
    </rPh>
    <rPh sb="7" eb="11">
      <t>コウリキギョウ</t>
    </rPh>
    <rPh sb="14" eb="16">
      <t>スイシン</t>
    </rPh>
    <rPh sb="40" eb="42">
      <t>リョウイキ</t>
    </rPh>
    <rPh sb="42" eb="44">
      <t>タントウ</t>
    </rPh>
    <rPh sb="53" eb="55">
      <t>コウテイ</t>
    </rPh>
    <rPh sb="55" eb="57">
      <t>チエン</t>
    </rPh>
    <rPh sb="57" eb="58">
      <t>タ</t>
    </rPh>
    <rPh sb="59" eb="60">
      <t>ナオ</t>
    </rPh>
    <rPh sb="62" eb="64">
      <t>スイシン</t>
    </rPh>
    <phoneticPr fontId="2"/>
  </si>
  <si>
    <t>IBMホスト(z/OS)
Windows(Azure)
Oracle
HULFT
Salesforce</t>
    <phoneticPr fontId="2"/>
  </si>
  <si>
    <t>報道
新聞</t>
    <rPh sb="0" eb="2">
      <t>ホウドウ</t>
    </rPh>
    <rPh sb="3" eb="5">
      <t>シンブン</t>
    </rPh>
    <phoneticPr fontId="2"/>
  </si>
  <si>
    <t>電子版ニュース原稿管理システム構築</t>
    <rPh sb="0" eb="2">
      <t>デンシ</t>
    </rPh>
    <rPh sb="2" eb="3">
      <t>バン</t>
    </rPh>
    <rPh sb="7" eb="9">
      <t>ゲンコウ</t>
    </rPh>
    <rPh sb="9" eb="11">
      <t>カンリ</t>
    </rPh>
    <rPh sb="15" eb="17">
      <t>コウチク</t>
    </rPh>
    <phoneticPr fontId="2"/>
  </si>
  <si>
    <t>全国新聞社 電子原稿管理システム再構築
請負プライマリーベンダーＰＭ支援としてプロジェクト推進を担当
テストスケジュール管理、インシデント管理、クライアント報告資料作成</t>
    <rPh sb="0" eb="2">
      <t>ゼンコク</t>
    </rPh>
    <rPh sb="2" eb="5">
      <t>シンブンシャ</t>
    </rPh>
    <rPh sb="6" eb="8">
      <t>デンシ</t>
    </rPh>
    <rPh sb="8" eb="10">
      <t>ゲンコウ</t>
    </rPh>
    <rPh sb="10" eb="12">
      <t>カンリ</t>
    </rPh>
    <rPh sb="16" eb="19">
      <t>サイコウチク</t>
    </rPh>
    <rPh sb="20" eb="22">
      <t>ウケオイ</t>
    </rPh>
    <rPh sb="34" eb="36">
      <t>シエン</t>
    </rPh>
    <rPh sb="45" eb="47">
      <t>スイシン</t>
    </rPh>
    <rPh sb="48" eb="50">
      <t>タントウ</t>
    </rPh>
    <rPh sb="69" eb="71">
      <t>カンリ</t>
    </rPh>
    <rPh sb="78" eb="80">
      <t>ホウコク</t>
    </rPh>
    <rPh sb="80" eb="82">
      <t>シリョウ</t>
    </rPh>
    <rPh sb="82" eb="84">
      <t>サクセイ</t>
    </rPh>
    <phoneticPr fontId="2"/>
  </si>
  <si>
    <t>Linux(RHEL)
Oracle
Redmine
SVN(Subversion)
Slack</t>
    <phoneticPr fontId="2"/>
  </si>
  <si>
    <t>生命保険
損害保険</t>
    <rPh sb="0" eb="2">
      <t>セイメイ</t>
    </rPh>
    <rPh sb="2" eb="4">
      <t>ホケン</t>
    </rPh>
    <rPh sb="5" eb="7">
      <t>ソンガイ</t>
    </rPh>
    <rPh sb="7" eb="9">
      <t>ホケン</t>
    </rPh>
    <phoneticPr fontId="2"/>
  </si>
  <si>
    <t>保険新商品
Webサービス企画</t>
    <rPh sb="0" eb="2">
      <t>ホケン</t>
    </rPh>
    <rPh sb="2" eb="5">
      <t>シンショウヒン</t>
    </rPh>
    <rPh sb="13" eb="15">
      <t>キカク</t>
    </rPh>
    <phoneticPr fontId="2"/>
  </si>
  <si>
    <t>ネット保険新商品拡販Webサービス立ち上げ企画
社内稟議、デザイン考案、内製開発、外注ベンダー選定、法令対応</t>
    <rPh sb="3" eb="5">
      <t>ホケン</t>
    </rPh>
    <rPh sb="5" eb="8">
      <t>シンショウヒン</t>
    </rPh>
    <rPh sb="17" eb="18">
      <t>タ</t>
    </rPh>
    <rPh sb="19" eb="20">
      <t>ア</t>
    </rPh>
    <rPh sb="21" eb="23">
      <t>キカク</t>
    </rPh>
    <rPh sb="24" eb="26">
      <t>シャナイ</t>
    </rPh>
    <rPh sb="26" eb="28">
      <t>リンギ</t>
    </rPh>
    <rPh sb="33" eb="35">
      <t>コウアン</t>
    </rPh>
    <rPh sb="36" eb="38">
      <t>ナイセイ</t>
    </rPh>
    <rPh sb="38" eb="40">
      <t>カイハツ</t>
    </rPh>
    <rPh sb="41" eb="43">
      <t>ガイチュウ</t>
    </rPh>
    <rPh sb="47" eb="49">
      <t>センテイ</t>
    </rPh>
    <rPh sb="50" eb="52">
      <t>ホウレイ</t>
    </rPh>
    <phoneticPr fontId="2"/>
  </si>
  <si>
    <t>Linux(RHEL)
Oracle</t>
    <phoneticPr fontId="2"/>
  </si>
  <si>
    <t>総合商社</t>
    <rPh sb="0" eb="2">
      <t>ソウゴウ</t>
    </rPh>
    <rPh sb="2" eb="4">
      <t>ショウシャ</t>
    </rPh>
    <phoneticPr fontId="2"/>
  </si>
  <si>
    <t>連結会計パッケージ
製品導入</t>
    <phoneticPr fontId="2"/>
  </si>
  <si>
    <t>PMO</t>
  </si>
  <si>
    <t>総合商社 連結会計システム、パッケージ導入
請負プライマリーベンダーＰＭ支援としてプロジェクト推進を担当
上位会社向け報告、課題管理</t>
    <rPh sb="0" eb="4">
      <t>ソウゴウショウシャ</t>
    </rPh>
    <rPh sb="5" eb="7">
      <t>レンケツ</t>
    </rPh>
    <rPh sb="7" eb="9">
      <t>カイケイ</t>
    </rPh>
    <rPh sb="19" eb="21">
      <t>ドウニュウ</t>
    </rPh>
    <rPh sb="22" eb="24">
      <t>ウケオイ</t>
    </rPh>
    <rPh sb="36" eb="38">
      <t>シエン</t>
    </rPh>
    <rPh sb="47" eb="49">
      <t>スイシン</t>
    </rPh>
    <rPh sb="50" eb="52">
      <t>タントウ</t>
    </rPh>
    <rPh sb="53" eb="55">
      <t>ジョウイ</t>
    </rPh>
    <rPh sb="55" eb="57">
      <t>ガイシャ</t>
    </rPh>
    <rPh sb="57" eb="58">
      <t>ム</t>
    </rPh>
    <rPh sb="59" eb="61">
      <t>ホウコク</t>
    </rPh>
    <rPh sb="62" eb="64">
      <t>カダイ</t>
    </rPh>
    <rPh sb="64" eb="66">
      <t>カンリ</t>
    </rPh>
    <phoneticPr fontId="2"/>
  </si>
  <si>
    <t>Windows(Azure)
DivaSystem
Redmine</t>
    <phoneticPr fontId="2"/>
  </si>
  <si>
    <t>国内IT系コンサルファームチームメンバー所属</t>
    <rPh sb="0" eb="2">
      <t>コクナイ</t>
    </rPh>
    <rPh sb="4" eb="5">
      <t>ケイ</t>
    </rPh>
    <rPh sb="20" eb="22">
      <t>ショゾク</t>
    </rPh>
    <phoneticPr fontId="2"/>
  </si>
  <si>
    <t>小売り
総合
#34
#32</t>
    <rPh sb="0" eb="2">
      <t>コウ</t>
    </rPh>
    <phoneticPr fontId="2"/>
  </si>
  <si>
    <t>ECサイト
保守</t>
    <rPh sb="6" eb="8">
      <t>ホシュ</t>
    </rPh>
    <phoneticPr fontId="2"/>
  </si>
  <si>
    <t>国内最大手総合小売企業 ＥＣサイト保守開発（全体ＰＭＯ）
全体ＰＭＯとして、ベンダー・内製開発チームの取り纏め
大手SIerマルチベンダー管理、プロセス改善、本番運用課題管理、改善提案</t>
    <rPh sb="17" eb="19">
      <t>ホシュ</t>
    </rPh>
    <rPh sb="19" eb="21">
      <t>カイハツ</t>
    </rPh>
    <rPh sb="22" eb="24">
      <t>ゼンタイ</t>
    </rPh>
    <rPh sb="29" eb="31">
      <t>ゼンタイ</t>
    </rPh>
    <rPh sb="43" eb="45">
      <t>ナイセイ</t>
    </rPh>
    <rPh sb="45" eb="47">
      <t>カイハツ</t>
    </rPh>
    <rPh sb="51" eb="52">
      <t>ト</t>
    </rPh>
    <rPh sb="53" eb="54">
      <t>マト</t>
    </rPh>
    <rPh sb="56" eb="58">
      <t>オオテ</t>
    </rPh>
    <rPh sb="69" eb="71">
      <t>カンリ</t>
    </rPh>
    <rPh sb="76" eb="78">
      <t>カイゼン</t>
    </rPh>
    <rPh sb="79" eb="81">
      <t>ホンバン</t>
    </rPh>
    <rPh sb="81" eb="83">
      <t>ウンヨウ</t>
    </rPh>
    <rPh sb="83" eb="85">
      <t>カダイ</t>
    </rPh>
    <rPh sb="85" eb="87">
      <t>カンリ</t>
    </rPh>
    <rPh sb="88" eb="90">
      <t>カイゼン</t>
    </rPh>
    <rPh sb="90" eb="92">
      <t>テイアン</t>
    </rPh>
    <phoneticPr fontId="2"/>
  </si>
  <si>
    <t>Linux(RHEL)
Oracle Exadata
SVN(Subversion)
TERASOLUNA
HULFT
Backlog
Redmine</t>
    <phoneticPr fontId="2"/>
  </si>
  <si>
    <t>小売り
総合
#35
#32</t>
    <rPh sb="0" eb="2">
      <t>コウ</t>
    </rPh>
    <phoneticPr fontId="2"/>
  </si>
  <si>
    <t>電子機器メーカー</t>
    <rPh sb="0" eb="2">
      <t>デンシ</t>
    </rPh>
    <rPh sb="2" eb="4">
      <t>キキ</t>
    </rPh>
    <phoneticPr fontId="2"/>
  </si>
  <si>
    <t>在庫管理システム
構築</t>
    <rPh sb="0" eb="2">
      <t>ザイコ</t>
    </rPh>
    <rPh sb="2" eb="4">
      <t>カンリ</t>
    </rPh>
    <rPh sb="9" eb="11">
      <t>コウチク</t>
    </rPh>
    <phoneticPr fontId="2"/>
  </si>
  <si>
    <t>電子機器メーカー海外在庫管理システム再構築
オフショア開発の工程管理と受け入れ検収、テスト方針策定</t>
    <rPh sb="0" eb="4">
      <t>デンシキキ</t>
    </rPh>
    <rPh sb="8" eb="10">
      <t>カイガイ</t>
    </rPh>
    <rPh sb="10" eb="12">
      <t>ザイコ</t>
    </rPh>
    <rPh sb="12" eb="14">
      <t>カンリ</t>
    </rPh>
    <rPh sb="18" eb="19">
      <t>サイ</t>
    </rPh>
    <rPh sb="19" eb="21">
      <t>コウチク</t>
    </rPh>
    <rPh sb="27" eb="29">
      <t>カイハツ</t>
    </rPh>
    <rPh sb="30" eb="32">
      <t>コウテイ</t>
    </rPh>
    <rPh sb="32" eb="34">
      <t>カンリ</t>
    </rPh>
    <rPh sb="35" eb="36">
      <t>ウ</t>
    </rPh>
    <rPh sb="37" eb="38">
      <t>イ</t>
    </rPh>
    <rPh sb="39" eb="41">
      <t>ケンシュウ</t>
    </rPh>
    <rPh sb="45" eb="47">
      <t>ホウシン</t>
    </rPh>
    <rPh sb="47" eb="49">
      <t>サクテイ</t>
    </rPh>
    <phoneticPr fontId="2"/>
  </si>
  <si>
    <t>Linux(RHEL)
Oracle
SVN(Subversion)</t>
    <phoneticPr fontId="2"/>
  </si>
  <si>
    <t>小売り
総合
#35
#34</t>
    <rPh sb="0" eb="2">
      <t>コウ</t>
    </rPh>
    <phoneticPr fontId="2"/>
  </si>
  <si>
    <t>ECサイト
新規開発</t>
    <rPh sb="6" eb="8">
      <t>シンキ</t>
    </rPh>
    <rPh sb="8" eb="10">
      <t>カイハツ</t>
    </rPh>
    <phoneticPr fontId="2"/>
  </si>
  <si>
    <t>テスト管理</t>
    <phoneticPr fontId="2"/>
  </si>
  <si>
    <t>国内最大手総合小売企業 ＥＣサイト新規構築
プロジェクト全体推進
周辺システム企業調整、性能テスト、マルチベンダー管理
実施計画、役員向け報告資料作成および報告</t>
    <rPh sb="17" eb="19">
      <t>シンキ</t>
    </rPh>
    <rPh sb="19" eb="21">
      <t>コウチク</t>
    </rPh>
    <rPh sb="28" eb="30">
      <t>ゼンタイ</t>
    </rPh>
    <rPh sb="30" eb="32">
      <t>スイシン</t>
    </rPh>
    <rPh sb="33" eb="35">
      <t>シュウヘン</t>
    </rPh>
    <rPh sb="39" eb="41">
      <t>キギョウ</t>
    </rPh>
    <rPh sb="41" eb="43">
      <t>チョウセイ</t>
    </rPh>
    <rPh sb="44" eb="46">
      <t>セイノウ</t>
    </rPh>
    <rPh sb="57" eb="59">
      <t>カンリ</t>
    </rPh>
    <rPh sb="65" eb="67">
      <t>ヤクイン</t>
    </rPh>
    <rPh sb="67" eb="68">
      <t>ム</t>
    </rPh>
    <rPh sb="69" eb="71">
      <t>ホウコク</t>
    </rPh>
    <rPh sb="71" eb="73">
      <t>シリョウ</t>
    </rPh>
    <rPh sb="73" eb="75">
      <t>サクセイ</t>
    </rPh>
    <rPh sb="78" eb="80">
      <t>ホウコク</t>
    </rPh>
    <phoneticPr fontId="2"/>
  </si>
  <si>
    <t>小売り
インテリア</t>
    <rPh sb="0" eb="2">
      <t>コウ</t>
    </rPh>
    <phoneticPr fontId="2"/>
  </si>
  <si>
    <t>販売管理システム
再構築</t>
    <rPh sb="0" eb="2">
      <t>ハンバイ</t>
    </rPh>
    <rPh sb="2" eb="4">
      <t>カンリ</t>
    </rPh>
    <rPh sb="9" eb="12">
      <t>サイコウチク</t>
    </rPh>
    <phoneticPr fontId="2"/>
  </si>
  <si>
    <t>インテリア量販店 販売管理システムのリニューアル
オフショアにて製造されたシステムの受入検証担当</t>
    <rPh sb="5" eb="8">
      <t>リョウハンテン</t>
    </rPh>
    <rPh sb="9" eb="11">
      <t>ハンバイ</t>
    </rPh>
    <rPh sb="11" eb="13">
      <t>カンリ</t>
    </rPh>
    <rPh sb="32" eb="34">
      <t>セイゾウ</t>
    </rPh>
    <rPh sb="42" eb="44">
      <t>ウケイレ</t>
    </rPh>
    <rPh sb="44" eb="46">
      <t>ケンショウ</t>
    </rPh>
    <rPh sb="46" eb="48">
      <t>タントウ</t>
    </rPh>
    <phoneticPr fontId="2"/>
  </si>
  <si>
    <t>Windows Server
SQL Server
SVN(Subversion)
Redmine</t>
    <phoneticPr fontId="2"/>
  </si>
  <si>
    <t>自動車</t>
    <rPh sb="0" eb="3">
      <t>ジドウシャ</t>
    </rPh>
    <phoneticPr fontId="2"/>
  </si>
  <si>
    <t>自動車産業
(アフターマーケット)
海外向け
新規事業企画</t>
    <rPh sb="0" eb="3">
      <t>ジドウシャ</t>
    </rPh>
    <rPh sb="3" eb="5">
      <t>サンギョウ</t>
    </rPh>
    <rPh sb="18" eb="20">
      <t>カイガイ</t>
    </rPh>
    <rPh sb="20" eb="21">
      <t>ム</t>
    </rPh>
    <rPh sb="23" eb="25">
      <t>シンキ</t>
    </rPh>
    <rPh sb="25" eb="27">
      <t>ジギョウ</t>
    </rPh>
    <rPh sb="27" eb="29">
      <t>キカク</t>
    </rPh>
    <phoneticPr fontId="2"/>
  </si>
  <si>
    <t xml:space="preserve">ASEAN自動車アフターマーケット・ITサービス開拓事業の立ち上げ・企画提案を担当
</t>
    <rPh sb="5" eb="8">
      <t>ジドウシャ</t>
    </rPh>
    <rPh sb="24" eb="26">
      <t>カイタク</t>
    </rPh>
    <rPh sb="26" eb="28">
      <t>ジギョウ</t>
    </rPh>
    <rPh sb="29" eb="30">
      <t>タ</t>
    </rPh>
    <rPh sb="31" eb="32">
      <t>ア</t>
    </rPh>
    <rPh sb="34" eb="36">
      <t>キカク</t>
    </rPh>
    <rPh sb="36" eb="38">
      <t>テイアン</t>
    </rPh>
    <rPh sb="39" eb="41">
      <t>タントウ</t>
    </rPh>
    <phoneticPr fontId="2"/>
  </si>
  <si>
    <t>生命保険
#27
#26</t>
    <rPh sb="0" eb="2">
      <t>セイメイ</t>
    </rPh>
    <rPh sb="2" eb="4">
      <t>ホケン</t>
    </rPh>
    <phoneticPr fontId="2"/>
  </si>
  <si>
    <t>プロジェクト総合管理
システム構築</t>
    <rPh sb="6" eb="8">
      <t>ソウゴウ</t>
    </rPh>
    <rPh sb="8" eb="10">
      <t>カンリ</t>
    </rPh>
    <rPh sb="15" eb="17">
      <t>コウチク</t>
    </rPh>
    <phoneticPr fontId="2"/>
  </si>
  <si>
    <t>開発プロジェクト統合管理システム新規構築
進捗管理、課題管理、障害監理、要員管理、変更管理、予算管理などプロジェクトを総合的に管理するWebシステム開発
テストチームリーダーとして、テスト計画、実施方式計画を担当</t>
    <rPh sb="0" eb="2">
      <t>カイハツ</t>
    </rPh>
    <rPh sb="8" eb="10">
      <t>トウゴウ</t>
    </rPh>
    <rPh sb="10" eb="12">
      <t>カンリ</t>
    </rPh>
    <rPh sb="16" eb="18">
      <t>シンキ</t>
    </rPh>
    <rPh sb="18" eb="20">
      <t>コウチク</t>
    </rPh>
    <rPh sb="21" eb="23">
      <t>シンチョク</t>
    </rPh>
    <rPh sb="23" eb="25">
      <t>カンリ</t>
    </rPh>
    <rPh sb="26" eb="28">
      <t>カダイ</t>
    </rPh>
    <rPh sb="28" eb="30">
      <t>カンリ</t>
    </rPh>
    <rPh sb="31" eb="33">
      <t>ショウガイ</t>
    </rPh>
    <rPh sb="33" eb="35">
      <t>カンリ</t>
    </rPh>
    <rPh sb="36" eb="38">
      <t>ヨウイン</t>
    </rPh>
    <rPh sb="38" eb="40">
      <t>カンリ</t>
    </rPh>
    <rPh sb="41" eb="43">
      <t>ヘンコウ</t>
    </rPh>
    <rPh sb="43" eb="45">
      <t>カンリ</t>
    </rPh>
    <rPh sb="46" eb="48">
      <t>ヨサン</t>
    </rPh>
    <rPh sb="48" eb="50">
      <t>カンリ</t>
    </rPh>
    <rPh sb="59" eb="61">
      <t>ソウゴウ</t>
    </rPh>
    <rPh sb="61" eb="62">
      <t>テキ</t>
    </rPh>
    <rPh sb="63" eb="65">
      <t>カンリ</t>
    </rPh>
    <rPh sb="74" eb="76">
      <t>カイハツ</t>
    </rPh>
    <rPh sb="94" eb="96">
      <t>ケイカク</t>
    </rPh>
    <rPh sb="97" eb="99">
      <t>ジッシ</t>
    </rPh>
    <rPh sb="99" eb="101">
      <t>ホウシキ</t>
    </rPh>
    <rPh sb="101" eb="103">
      <t>ケイカク</t>
    </rPh>
    <rPh sb="104" eb="106">
      <t>タントウ</t>
    </rPh>
    <phoneticPr fontId="2"/>
  </si>
  <si>
    <t>Windows Server
SQL Server
Apache
Tomcat
Redmine</t>
    <phoneticPr fontId="2"/>
  </si>
  <si>
    <t>社内</t>
    <rPh sb="0" eb="2">
      <t>シャナイ</t>
    </rPh>
    <phoneticPr fontId="2"/>
  </si>
  <si>
    <t>経理システム改修</t>
    <rPh sb="0" eb="2">
      <t>ケイリ</t>
    </rPh>
    <rPh sb="6" eb="8">
      <t>カイシュウ</t>
    </rPh>
    <phoneticPr fontId="2"/>
  </si>
  <si>
    <t>社内経理システムメンテナンス
機能追加対応</t>
    <rPh sb="0" eb="2">
      <t>シャナイ</t>
    </rPh>
    <rPh sb="2" eb="4">
      <t>ケイリ</t>
    </rPh>
    <rPh sb="15" eb="17">
      <t>キノウ</t>
    </rPh>
    <rPh sb="17" eb="19">
      <t>ツイカ</t>
    </rPh>
    <rPh sb="19" eb="21">
      <t>タイオウ</t>
    </rPh>
    <phoneticPr fontId="2"/>
  </si>
  <si>
    <t>Linux(Redhat)
Apache
Tomcat
PostgreSQL</t>
    <phoneticPr fontId="2"/>
  </si>
  <si>
    <t>生命保険
#29
#26</t>
    <rPh sb="0" eb="2">
      <t>セイメイ</t>
    </rPh>
    <rPh sb="2" eb="4">
      <t>ホケン</t>
    </rPh>
    <phoneticPr fontId="2"/>
  </si>
  <si>
    <t>保険代理店
窓口販売パッケージ
製品開発
（銀行向け）</t>
    <rPh sb="0" eb="2">
      <t>ホケン</t>
    </rPh>
    <rPh sb="2" eb="5">
      <t>ダイリテン</t>
    </rPh>
    <rPh sb="6" eb="8">
      <t>マドグチ</t>
    </rPh>
    <rPh sb="8" eb="10">
      <t>ハンバイ</t>
    </rPh>
    <rPh sb="16" eb="18">
      <t>セイヒン</t>
    </rPh>
    <rPh sb="18" eb="20">
      <t>カイハツ</t>
    </rPh>
    <rPh sb="22" eb="24">
      <t>ギンコウ</t>
    </rPh>
    <rPh sb="24" eb="25">
      <t>ム</t>
    </rPh>
    <phoneticPr fontId="2"/>
  </si>
  <si>
    <t>銀行窓口向け保険代理店パッケージ 製品リニューアル
オンプレミスからクラウドサービス化対応
JP1バッチジョブ設計・構築・運用計画</t>
    <rPh sb="4" eb="5">
      <t>ム</t>
    </rPh>
    <rPh sb="6" eb="8">
      <t>ホケン</t>
    </rPh>
    <rPh sb="8" eb="11">
      <t>ダイリテン</t>
    </rPh>
    <rPh sb="17" eb="19">
      <t>セイヒン</t>
    </rPh>
    <rPh sb="42" eb="43">
      <t>カ</t>
    </rPh>
    <rPh sb="43" eb="45">
      <t>タイオウ</t>
    </rPh>
    <rPh sb="55" eb="57">
      <t>セッケイ</t>
    </rPh>
    <rPh sb="58" eb="60">
      <t>コウチク</t>
    </rPh>
    <rPh sb="61" eb="63">
      <t>ウンヨウ</t>
    </rPh>
    <rPh sb="63" eb="65">
      <t>ケイカク</t>
    </rPh>
    <phoneticPr fontId="2"/>
  </si>
  <si>
    <t>Windows Server
SQL Server
Apache
Tomcat
JP1/AJS
Redmine</t>
    <phoneticPr fontId="2"/>
  </si>
  <si>
    <t>生命保険
#29
#27</t>
    <rPh sb="0" eb="2">
      <t>セイメイ</t>
    </rPh>
    <rPh sb="2" eb="4">
      <t>ホケン</t>
    </rPh>
    <phoneticPr fontId="2"/>
  </si>
  <si>
    <t>保険代理店
窓口販売システム開発
（証券会社向け）</t>
    <rPh sb="0" eb="2">
      <t>ホケン</t>
    </rPh>
    <rPh sb="2" eb="5">
      <t>ダイリテン</t>
    </rPh>
    <rPh sb="6" eb="8">
      <t>マドグチ</t>
    </rPh>
    <rPh sb="8" eb="10">
      <t>ハンバイ</t>
    </rPh>
    <rPh sb="14" eb="16">
      <t>カイハツ</t>
    </rPh>
    <rPh sb="18" eb="20">
      <t>ショウケン</t>
    </rPh>
    <rPh sb="20" eb="22">
      <t>ガイシャ</t>
    </rPh>
    <rPh sb="22" eb="23">
      <t>ム</t>
    </rPh>
    <phoneticPr fontId="2"/>
  </si>
  <si>
    <t>Windows Server
SQL Server
Apache
J1/AJS
Tomcat
Redmine</t>
    <phoneticPr fontId="2"/>
  </si>
  <si>
    <t>Windows Server
SQL Server
PowerCenter
Exstream
HULFT</t>
    <phoneticPr fontId="2"/>
  </si>
  <si>
    <t>電機機器メーカー</t>
    <rPh sb="0" eb="2">
      <t>デンキ</t>
    </rPh>
    <rPh sb="2" eb="4">
      <t>キキ</t>
    </rPh>
    <phoneticPr fontId="2"/>
  </si>
  <si>
    <t>サプライチェーン
マネージメントシステム
構築</t>
    <rPh sb="21" eb="23">
      <t>コウチク</t>
    </rPh>
    <phoneticPr fontId="2"/>
  </si>
  <si>
    <t>海外ＳＣＭシステムマイグレーション
旧システム(C言語、PL/SQL)からJavaベースの自社独自フレームワーク化への移行対応システムテスト工程におけるテスト計画(見直し)および障害管理方式・管理基準・運用フロー・評価の全面見直し(立案～運用に乗せるまで対応)</t>
    <rPh sb="18" eb="19">
      <t>キュウ</t>
    </rPh>
    <rPh sb="25" eb="27">
      <t>ゲンゴ</t>
    </rPh>
    <rPh sb="56" eb="57">
      <t>カ</t>
    </rPh>
    <rPh sb="59" eb="61">
      <t>イコウ</t>
    </rPh>
    <rPh sb="61" eb="63">
      <t>タイオウ</t>
    </rPh>
    <rPh sb="70" eb="72">
      <t>コウテイ</t>
    </rPh>
    <rPh sb="79" eb="81">
      <t>ケイカク</t>
    </rPh>
    <rPh sb="82" eb="84">
      <t>ミナオ</t>
    </rPh>
    <rPh sb="89" eb="93">
      <t>ショウガイカンリ</t>
    </rPh>
    <rPh sb="93" eb="95">
      <t>ホウシキ</t>
    </rPh>
    <rPh sb="96" eb="98">
      <t>カンリ</t>
    </rPh>
    <rPh sb="98" eb="100">
      <t>キジュン</t>
    </rPh>
    <rPh sb="101" eb="103">
      <t>ウンヨウ</t>
    </rPh>
    <rPh sb="107" eb="109">
      <t>ヒョウカ</t>
    </rPh>
    <rPh sb="110" eb="114">
      <t>ゼンメンミナオ</t>
    </rPh>
    <rPh sb="116" eb="118">
      <t>リツアン</t>
    </rPh>
    <rPh sb="127" eb="129">
      <t>タイオウ</t>
    </rPh>
    <phoneticPr fontId="2"/>
  </si>
  <si>
    <t>Windows Server
SQL Server
SAP
Redmine</t>
    <phoneticPr fontId="2"/>
  </si>
  <si>
    <t>建設
資材</t>
    <rPh sb="0" eb="2">
      <t>ケンセツ</t>
    </rPh>
    <rPh sb="3" eb="5">
      <t>シザイ</t>
    </rPh>
    <phoneticPr fontId="2"/>
  </si>
  <si>
    <t>リース管理システム
構築</t>
    <rPh sb="3" eb="5">
      <t>カンリ</t>
    </rPh>
    <rPh sb="10" eb="12">
      <t>コウチク</t>
    </rPh>
    <phoneticPr fontId="2"/>
  </si>
  <si>
    <t>メインフレーム上で稼働中システムのオープン化対応アーキテクチャ選定、インフラ設計、各業務共通部分の画面・DB設計その他、プロジェクト推進に係わる顧客打ち合わせプロジェクト内展開、スケジュール管理、定例・臨時会議体設定などPMO業務とＰＭ代行としての役割も担当</t>
    <rPh sb="7" eb="8">
      <t>ジョウ</t>
    </rPh>
    <rPh sb="9" eb="12">
      <t>カドウチュウ</t>
    </rPh>
    <rPh sb="21" eb="22">
      <t>カ</t>
    </rPh>
    <rPh sb="22" eb="24">
      <t>タイオウ</t>
    </rPh>
    <rPh sb="38" eb="40">
      <t>セッケイ</t>
    </rPh>
    <rPh sb="113" eb="115">
      <t>ギョウム</t>
    </rPh>
    <rPh sb="118" eb="120">
      <t>ダイコウ</t>
    </rPh>
    <phoneticPr fontId="2"/>
  </si>
  <si>
    <t>Windows Server
SQL Server
Biz/Browser
軽技Web
Hi-per/BT</t>
    <phoneticPr fontId="2"/>
  </si>
  <si>
    <t>電力
発電</t>
    <rPh sb="0" eb="2">
      <t>デンリョク</t>
    </rPh>
    <rPh sb="3" eb="5">
      <t>ハツデン</t>
    </rPh>
    <phoneticPr fontId="2"/>
  </si>
  <si>
    <t>工事管理システム
構築</t>
    <rPh sb="0" eb="2">
      <t>コウジ</t>
    </rPh>
    <rPh sb="2" eb="4">
      <t>カンリ</t>
    </rPh>
    <rPh sb="9" eb="11">
      <t>コウチク</t>
    </rPh>
    <phoneticPr fontId="2"/>
  </si>
  <si>
    <t>営業、資材、工事管理の３サブシステム統合対応AS/400で稼働中のレガシーシステムをWindowsサーバへ移行、同時に全面Web化対応共通チームとしてアーキテクチャ選定、各業務共通部分の画面・DB設計顧客とのワーキンググループにおいて全体説明なども担当その他、プロジェクト推進に係わる顧客打ち合わせプロジェクト内展開、スケジュール管理、定例・臨時会議体設定などPMOとしての役割も担当</t>
    <rPh sb="18" eb="20">
      <t>トウゴウ</t>
    </rPh>
    <rPh sb="20" eb="22">
      <t>タイオウ</t>
    </rPh>
    <rPh sb="29" eb="32">
      <t>カドウチュウ</t>
    </rPh>
    <rPh sb="53" eb="55">
      <t>イコウ</t>
    </rPh>
    <rPh sb="56" eb="58">
      <t>ドウジ</t>
    </rPh>
    <rPh sb="59" eb="61">
      <t>ゼンメン</t>
    </rPh>
    <rPh sb="64" eb="65">
      <t>カ</t>
    </rPh>
    <rPh sb="65" eb="67">
      <t>タイオウ</t>
    </rPh>
    <rPh sb="67" eb="69">
      <t>キョウツウ</t>
    </rPh>
    <rPh sb="82" eb="84">
      <t>センテイ</t>
    </rPh>
    <rPh sb="85" eb="86">
      <t>カク</t>
    </rPh>
    <rPh sb="86" eb="88">
      <t>ギョウム</t>
    </rPh>
    <rPh sb="88" eb="90">
      <t>キョウツウ</t>
    </rPh>
    <rPh sb="90" eb="92">
      <t>ブブン</t>
    </rPh>
    <rPh sb="93" eb="95">
      <t>ガメン</t>
    </rPh>
    <rPh sb="98" eb="100">
      <t>セッケイ</t>
    </rPh>
    <rPh sb="100" eb="102">
      <t>コキャク</t>
    </rPh>
    <rPh sb="117" eb="119">
      <t>ゼンタイ</t>
    </rPh>
    <rPh sb="119" eb="121">
      <t>セツメイ</t>
    </rPh>
    <rPh sb="124" eb="126">
      <t>タントウ</t>
    </rPh>
    <phoneticPr fontId="2"/>
  </si>
  <si>
    <t>Windows Server
Oracle
AS/400</t>
    <phoneticPr fontId="2"/>
  </si>
  <si>
    <t>通信
携帯電話</t>
    <rPh sb="0" eb="2">
      <t>ツウシン</t>
    </rPh>
    <rPh sb="3" eb="5">
      <t>ケイタイ</t>
    </rPh>
    <rPh sb="5" eb="7">
      <t>デンワ</t>
    </rPh>
    <phoneticPr fontId="2"/>
  </si>
  <si>
    <t>顧客管理
システム保守</t>
    <rPh sb="0" eb="2">
      <t>コキャク</t>
    </rPh>
    <rPh sb="2" eb="4">
      <t>カンリ</t>
    </rPh>
    <rPh sb="9" eb="11">
      <t>ホシュ</t>
    </rPh>
    <phoneticPr fontId="2"/>
  </si>
  <si>
    <t>■店頭受付システム受入検証
携帯電話契約店頭受付システムの本番リリース直前受入検証として、テストシナリオ作成、検証実施、障害報告、評価報告、リリース判定を担当
■顧客契約管理システムweb化対応
汎用機(HP社　OpenVMS)上にて稼働中のレガシーシステムをWindowsサーバ移行、同時に全面Web化対応PMO(推進チーム)としてマルチベンダーの取り纏め(各種計画書および完了報告書審査、進捗管理、コンティンジェンシープラン策定、会議体設定、会議召集など)を担当
■品質管理
社内内製強化にともなう、品質管理、生産性向上、共通ドキュメント作成、各種基準策定、テスト自動化ツール(製品)選定評価を担当</t>
    <rPh sb="14" eb="16">
      <t>ケイタイ</t>
    </rPh>
    <rPh sb="16" eb="18">
      <t>デンワ</t>
    </rPh>
    <rPh sb="18" eb="20">
      <t>ケイヤク</t>
    </rPh>
    <rPh sb="20" eb="22">
      <t>テントウ</t>
    </rPh>
    <rPh sb="22" eb="24">
      <t>ウケツケ</t>
    </rPh>
    <rPh sb="29" eb="31">
      <t>ホンバン</t>
    </rPh>
    <rPh sb="35" eb="37">
      <t>チョクゼン</t>
    </rPh>
    <rPh sb="37" eb="39">
      <t>ウケイレ</t>
    </rPh>
    <rPh sb="39" eb="41">
      <t>ケンショウ</t>
    </rPh>
    <rPh sb="52" eb="54">
      <t>サクセイ</t>
    </rPh>
    <rPh sb="55" eb="57">
      <t>ケンショウ</t>
    </rPh>
    <rPh sb="57" eb="59">
      <t>ジッシ</t>
    </rPh>
    <rPh sb="60" eb="62">
      <t>ショウガイ</t>
    </rPh>
    <rPh sb="62" eb="64">
      <t>ホウコク</t>
    </rPh>
    <rPh sb="65" eb="67">
      <t>ヒョウカ</t>
    </rPh>
    <rPh sb="67" eb="69">
      <t>ホウコク</t>
    </rPh>
    <rPh sb="74" eb="76">
      <t>ハンテイ</t>
    </rPh>
    <rPh sb="77" eb="79">
      <t>タントウ</t>
    </rPh>
    <rPh sb="83" eb="85">
      <t>ケイヤク</t>
    </rPh>
    <rPh sb="98" eb="100">
      <t>ハンヨウ</t>
    </rPh>
    <rPh sb="100" eb="101">
      <t>キ</t>
    </rPh>
    <rPh sb="104" eb="105">
      <t>シャ</t>
    </rPh>
    <rPh sb="114" eb="115">
      <t>ジョウ</t>
    </rPh>
    <rPh sb="117" eb="120">
      <t>カドウチュウ</t>
    </rPh>
    <rPh sb="140" eb="142">
      <t>イコウ</t>
    </rPh>
    <rPh sb="143" eb="145">
      <t>ドウジ</t>
    </rPh>
    <rPh sb="146" eb="148">
      <t>ゼンメン</t>
    </rPh>
    <rPh sb="151" eb="152">
      <t>カ</t>
    </rPh>
    <rPh sb="152" eb="154">
      <t>タイオウ</t>
    </rPh>
    <rPh sb="158" eb="160">
      <t>スイシン</t>
    </rPh>
    <rPh sb="175" eb="176">
      <t>ト</t>
    </rPh>
    <rPh sb="177" eb="178">
      <t>マト</t>
    </rPh>
    <rPh sb="180" eb="182">
      <t>カクシュ</t>
    </rPh>
    <rPh sb="182" eb="185">
      <t>ケイカクショ</t>
    </rPh>
    <rPh sb="188" eb="190">
      <t>カンリョウ</t>
    </rPh>
    <rPh sb="190" eb="192">
      <t>ホウコク</t>
    </rPh>
    <rPh sb="193" eb="195">
      <t>シンサ</t>
    </rPh>
    <rPh sb="196" eb="198">
      <t>シンチョク</t>
    </rPh>
    <rPh sb="198" eb="200">
      <t>カンリ</t>
    </rPh>
    <rPh sb="214" eb="216">
      <t>サクテイ</t>
    </rPh>
    <rPh sb="217" eb="219">
      <t>カイギ</t>
    </rPh>
    <rPh sb="219" eb="220">
      <t>タイ</t>
    </rPh>
    <rPh sb="220" eb="222">
      <t>セッテイ</t>
    </rPh>
    <rPh sb="223" eb="225">
      <t>カイギ</t>
    </rPh>
    <rPh sb="225" eb="227">
      <t>ショウシュウ</t>
    </rPh>
    <rPh sb="231" eb="233">
      <t>タントウ</t>
    </rPh>
    <rPh sb="235" eb="237">
      <t>ヒンシツ</t>
    </rPh>
    <rPh sb="237" eb="239">
      <t>カンリ</t>
    </rPh>
    <rPh sb="240" eb="242">
      <t>シャナイ</t>
    </rPh>
    <rPh sb="242" eb="244">
      <t>ナイセイ</t>
    </rPh>
    <rPh sb="244" eb="246">
      <t>キョウカ</t>
    </rPh>
    <rPh sb="252" eb="254">
      <t>ヒンシツ</t>
    </rPh>
    <rPh sb="254" eb="256">
      <t>カンリ</t>
    </rPh>
    <rPh sb="257" eb="260">
      <t>セイサンセイ</t>
    </rPh>
    <rPh sb="260" eb="262">
      <t>コウジョウ</t>
    </rPh>
    <rPh sb="263" eb="265">
      <t>キョウツウ</t>
    </rPh>
    <rPh sb="271" eb="273">
      <t>サクセイ</t>
    </rPh>
    <rPh sb="274" eb="276">
      <t>カクシュ</t>
    </rPh>
    <rPh sb="284" eb="286">
      <t>ジドウ</t>
    </rPh>
    <rPh sb="286" eb="287">
      <t>カ</t>
    </rPh>
    <rPh sb="291" eb="293">
      <t>セイヒン</t>
    </rPh>
    <rPh sb="294" eb="296">
      <t>センテイ</t>
    </rPh>
    <rPh sb="296" eb="298">
      <t>ヒョウカ</t>
    </rPh>
    <rPh sb="299" eb="301">
      <t>タントウ</t>
    </rPh>
    <phoneticPr fontId="2"/>
  </si>
  <si>
    <t>Windows Server
HP QTP
(ﾃｽﾄ自動化ﾂｰﾙ)</t>
    <rPh sb="26" eb="29">
      <t>ジドウカ</t>
    </rPh>
    <phoneticPr fontId="2"/>
  </si>
  <si>
    <t>基幹システム保守</t>
    <phoneticPr fontId="2"/>
  </si>
  <si>
    <t>■ホストセンター移行(移設)対応
ホストセンター再編(集約)に伴う基盤プログラムの移行対応業務バッチジョブを一括して集中管理する基盤プログラムの移行対応としてOSバージョンアップおよびホスト集約に伴うプログラム変更対応調査から要件定義、設計、製造、テスト、リハーサル、切替、本番稼動開始後確認までを一貫して対応
■被災訓練
新センター移行後の被災訓練を計画・実施
■J-SOX法対応
ライブラリ管理としてプログラム入れ替え時のJ-SOX方対応について、調査から要件定義、設計、製造、テスト、リハーサル、切替、本番稼動開始後確認までを一貫して対応
上記対応における役割として、チーム取り纏め、顧客調整、実行計画(スケジュール・要員)、進捗管理、完了報告を担当</t>
    <phoneticPr fontId="2"/>
  </si>
  <si>
    <t>IBMホスト(z/OS)
日立ホスト(VOS3)
バッチ連携(HOPSS)
バッチ連携(IOPASS2)
VSAM</t>
    <rPh sb="13" eb="15">
      <t>ヒタチ</t>
    </rPh>
    <rPh sb="28" eb="30">
      <t>レンケイ</t>
    </rPh>
    <phoneticPr fontId="2"/>
  </si>
  <si>
    <t>鉄道</t>
    <rPh sb="0" eb="2">
      <t>テツドウ</t>
    </rPh>
    <phoneticPr fontId="2"/>
  </si>
  <si>
    <t>電子マネー
新サービスシステム
構築</t>
    <rPh sb="0" eb="2">
      <t>デンシ</t>
    </rPh>
    <rPh sb="6" eb="7">
      <t>シン</t>
    </rPh>
    <rPh sb="16" eb="18">
      <t>コウチク</t>
    </rPh>
    <phoneticPr fontId="2"/>
  </si>
  <si>
    <t>Suica(カード型)の携帯電話向け新サービス(モバイルSuica)開始対応インフラ構築担当としてセキュリティサーバの設計・構築および運用ツール作成、JP1/AJSを使用した運用テストを担当同時に、サーバ側アプリと端末側アプリ(i-mode、Brew)の検証チームリーダとして、テスト計画・進捗管理・顧客報告・障害一次切り分けを担当</t>
    <rPh sb="12" eb="14">
      <t>ケイタイ</t>
    </rPh>
    <rPh sb="14" eb="16">
      <t>デンワ</t>
    </rPh>
    <rPh sb="16" eb="17">
      <t>ム</t>
    </rPh>
    <rPh sb="18" eb="19">
      <t>シン</t>
    </rPh>
    <rPh sb="34" eb="36">
      <t>カイシ</t>
    </rPh>
    <rPh sb="36" eb="38">
      <t>タイオウ</t>
    </rPh>
    <rPh sb="42" eb="44">
      <t>コウチク</t>
    </rPh>
    <rPh sb="44" eb="46">
      <t>タントウ</t>
    </rPh>
    <rPh sb="59" eb="61">
      <t>セッケイ</t>
    </rPh>
    <rPh sb="62" eb="64">
      <t>コウチク</t>
    </rPh>
    <rPh sb="67" eb="69">
      <t>ウンヨウ</t>
    </rPh>
    <rPh sb="72" eb="74">
      <t>サクセイ</t>
    </rPh>
    <rPh sb="83" eb="85">
      <t>シヨウ</t>
    </rPh>
    <rPh sb="87" eb="89">
      <t>ウンヨウ</t>
    </rPh>
    <rPh sb="93" eb="95">
      <t>タントウ</t>
    </rPh>
    <rPh sb="95" eb="97">
      <t>ドウジ</t>
    </rPh>
    <rPh sb="102" eb="103">
      <t>ガワ</t>
    </rPh>
    <rPh sb="107" eb="109">
      <t>タンマツ</t>
    </rPh>
    <rPh sb="109" eb="110">
      <t>ガワ</t>
    </rPh>
    <rPh sb="127" eb="129">
      <t>ケンショウ</t>
    </rPh>
    <rPh sb="142" eb="144">
      <t>ケイカク</t>
    </rPh>
    <rPh sb="145" eb="147">
      <t>シンチョク</t>
    </rPh>
    <rPh sb="147" eb="149">
      <t>カンリ</t>
    </rPh>
    <rPh sb="150" eb="152">
      <t>コキャク</t>
    </rPh>
    <rPh sb="152" eb="154">
      <t>ホウコク</t>
    </rPh>
    <rPh sb="155" eb="157">
      <t>ショウガイ</t>
    </rPh>
    <rPh sb="164" eb="166">
      <t>タントウ</t>
    </rPh>
    <phoneticPr fontId="2"/>
  </si>
  <si>
    <t>Windows Server
Unix(HP-UX)
JP1/AJS</t>
    <phoneticPr fontId="2"/>
  </si>
  <si>
    <t>IT機器メーカー</t>
    <rPh sb="2" eb="4">
      <t>キキ</t>
    </rPh>
    <phoneticPr fontId="2"/>
  </si>
  <si>
    <t>メインフレームユーティリティソフト開発</t>
    <rPh sb="17" eb="19">
      <t>カイハツ</t>
    </rPh>
    <phoneticPr fontId="2"/>
  </si>
  <si>
    <t>IBMホストへ接続したストレージ装置をTSO上(ISPF)から操作するためのストレージユティリティを開発災害対策(特に地域被災)に備えた遠隔地ディスクへの切替先定義およびリモートコピーなどが主な機能初版からの要件定義、設計・製造、テスト、品質管理、本番リリース(製品稼動開始)後の保守対応までを一貫して担当</t>
    <rPh sb="22" eb="23">
      <t>ジョウ</t>
    </rPh>
    <rPh sb="52" eb="54">
      <t>サイガイ</t>
    </rPh>
    <rPh sb="54" eb="56">
      <t>タイサク</t>
    </rPh>
    <rPh sb="57" eb="58">
      <t>トク</t>
    </rPh>
    <rPh sb="59" eb="61">
      <t>チイキ</t>
    </rPh>
    <rPh sb="61" eb="63">
      <t>ヒサイ</t>
    </rPh>
    <rPh sb="65" eb="66">
      <t>ソナ</t>
    </rPh>
    <rPh sb="68" eb="71">
      <t>エンカクチ</t>
    </rPh>
    <rPh sb="79" eb="80">
      <t>サキ</t>
    </rPh>
    <rPh sb="80" eb="82">
      <t>テイギ</t>
    </rPh>
    <rPh sb="95" eb="96">
      <t>オモ</t>
    </rPh>
    <rPh sb="97" eb="99">
      <t>キノウ</t>
    </rPh>
    <rPh sb="99" eb="101">
      <t>ショハン</t>
    </rPh>
    <rPh sb="104" eb="106">
      <t>ヨウケン</t>
    </rPh>
    <rPh sb="106" eb="108">
      <t>テイギ</t>
    </rPh>
    <rPh sb="109" eb="111">
      <t>セッケイ</t>
    </rPh>
    <rPh sb="112" eb="114">
      <t>セイゾウ</t>
    </rPh>
    <rPh sb="119" eb="121">
      <t>ヒンシツ</t>
    </rPh>
    <rPh sb="121" eb="123">
      <t>カンリ</t>
    </rPh>
    <rPh sb="124" eb="126">
      <t>ホンバン</t>
    </rPh>
    <rPh sb="131" eb="133">
      <t>セイヒン</t>
    </rPh>
    <rPh sb="133" eb="135">
      <t>カドウ</t>
    </rPh>
    <rPh sb="135" eb="137">
      <t>カイシ</t>
    </rPh>
    <rPh sb="138" eb="139">
      <t>ゴ</t>
    </rPh>
    <rPh sb="140" eb="142">
      <t>ホシュ</t>
    </rPh>
    <rPh sb="142" eb="144">
      <t>タイオウ</t>
    </rPh>
    <rPh sb="147" eb="149">
      <t>イッカン</t>
    </rPh>
    <rPh sb="151" eb="153">
      <t>タントウ</t>
    </rPh>
    <phoneticPr fontId="2"/>
  </si>
  <si>
    <t>日立ホスト(VO3)
VSAM</t>
    <rPh sb="0" eb="2">
      <t>ヒタチ</t>
    </rPh>
    <phoneticPr fontId="2"/>
  </si>
  <si>
    <t>メインフレーム
ディスクユーティリティ
ソフト開発</t>
    <rPh sb="23" eb="25">
      <t>カイハツ</t>
    </rPh>
    <phoneticPr fontId="2"/>
  </si>
  <si>
    <t>IBMホストへ接続できる日立製ディスク装置(SANRISEシリーズ)をコンソール、SDSF、JES2から操作するためのストレージユティリティを開発オンライン中ボリューム分割、バックアップ、キャッシュ管理などが主な機能初版からの要件定義、設計・製造、テスト、品質管理、本番リリース(製品稼動開始)後の保守対応までを一貫して担当</t>
    <rPh sb="78" eb="79">
      <t>チュウ</t>
    </rPh>
    <rPh sb="84" eb="86">
      <t>ブンカツ</t>
    </rPh>
    <rPh sb="99" eb="101">
      <t>カンリ</t>
    </rPh>
    <rPh sb="104" eb="105">
      <t>オモ</t>
    </rPh>
    <rPh sb="106" eb="108">
      <t>キノウ</t>
    </rPh>
    <rPh sb="108" eb="110">
      <t>ショハン</t>
    </rPh>
    <rPh sb="113" eb="115">
      <t>ヨウケン</t>
    </rPh>
    <rPh sb="115" eb="117">
      <t>テイギ</t>
    </rPh>
    <rPh sb="118" eb="120">
      <t>セッケイ</t>
    </rPh>
    <rPh sb="121" eb="123">
      <t>セイゾウ</t>
    </rPh>
    <rPh sb="128" eb="130">
      <t>ヒンシツ</t>
    </rPh>
    <rPh sb="130" eb="132">
      <t>カンリ</t>
    </rPh>
    <rPh sb="133" eb="135">
      <t>ホンバン</t>
    </rPh>
    <rPh sb="140" eb="142">
      <t>セイヒン</t>
    </rPh>
    <rPh sb="142" eb="144">
      <t>カドウ</t>
    </rPh>
    <rPh sb="144" eb="146">
      <t>カイシ</t>
    </rPh>
    <rPh sb="147" eb="148">
      <t>ゴ</t>
    </rPh>
    <rPh sb="149" eb="151">
      <t>ホシュ</t>
    </rPh>
    <rPh sb="151" eb="153">
      <t>タイオウ</t>
    </rPh>
    <rPh sb="156" eb="158">
      <t>イッカン</t>
    </rPh>
    <rPh sb="160" eb="162">
      <t>タントウ</t>
    </rPh>
    <phoneticPr fontId="2"/>
  </si>
  <si>
    <t>IBMホスト(z/OS)
日立ホスト(VOS3)
富士通ホスト(MSP)
RDBⅡ
HiRDB
VSAM</t>
    <rPh sb="13" eb="15">
      <t>ヒタチ</t>
    </rPh>
    <phoneticPr fontId="2"/>
  </si>
  <si>
    <t>社内
ポータルサイト構築</t>
    <rPh sb="0" eb="2">
      <t>シャナイ</t>
    </rPh>
    <rPh sb="10" eb="12">
      <t>コウチク</t>
    </rPh>
    <phoneticPr fontId="2"/>
  </si>
  <si>
    <t>社内向け情報発信ポータルサイト構築
環境構築、設計、プログラム開発、DB設計を構築から本番開始後の保守までを一貫して担当</t>
    <rPh sb="0" eb="2">
      <t>シャナイ</t>
    </rPh>
    <rPh sb="2" eb="3">
      <t>ム</t>
    </rPh>
    <rPh sb="4" eb="6">
      <t>ジョウホウ</t>
    </rPh>
    <rPh sb="6" eb="8">
      <t>ハッシン</t>
    </rPh>
    <rPh sb="15" eb="17">
      <t>コウチク</t>
    </rPh>
    <rPh sb="18" eb="20">
      <t>カンキョウ</t>
    </rPh>
    <rPh sb="20" eb="22">
      <t>コウチク</t>
    </rPh>
    <rPh sb="23" eb="25">
      <t>セッケイ</t>
    </rPh>
    <rPh sb="31" eb="33">
      <t>カイハツ</t>
    </rPh>
    <rPh sb="36" eb="38">
      <t>セッケイ</t>
    </rPh>
    <phoneticPr fontId="2"/>
  </si>
  <si>
    <t>Linux
Apache
PostrgreSQL
 PHP</t>
    <phoneticPr fontId="2"/>
  </si>
  <si>
    <t>運送業</t>
    <rPh sb="0" eb="3">
      <t>ウンソウギョウ</t>
    </rPh>
    <phoneticPr fontId="2"/>
  </si>
  <si>
    <t>宅配管理システム
構築</t>
    <rPh sb="0" eb="2">
      <t>タクハイ</t>
    </rPh>
    <rPh sb="2" eb="4">
      <t>カンリ</t>
    </rPh>
    <rPh sb="9" eb="11">
      <t>コウチク</t>
    </rPh>
    <phoneticPr fontId="2"/>
  </si>
  <si>
    <t>本番稼動開始直後にプログラム不良により破壊されたデータの修復対応対策チームサブリーダーとしてジョブのリラン計画・人員計画および実行指示を担当</t>
    <rPh sb="0" eb="2">
      <t>ホンバン</t>
    </rPh>
    <rPh sb="2" eb="4">
      <t>カドウ</t>
    </rPh>
    <rPh sb="4" eb="6">
      <t>カイシ</t>
    </rPh>
    <rPh sb="6" eb="8">
      <t>チョクゴ</t>
    </rPh>
    <rPh sb="14" eb="16">
      <t>フリョウ</t>
    </rPh>
    <rPh sb="19" eb="21">
      <t>ハカイ</t>
    </rPh>
    <rPh sb="28" eb="30">
      <t>シュウフク</t>
    </rPh>
    <rPh sb="30" eb="32">
      <t>タイオウ</t>
    </rPh>
    <rPh sb="32" eb="34">
      <t>タイサク</t>
    </rPh>
    <rPh sb="53" eb="55">
      <t>ケイカク</t>
    </rPh>
    <rPh sb="56" eb="58">
      <t>ジンイン</t>
    </rPh>
    <rPh sb="58" eb="60">
      <t>ケイカク</t>
    </rPh>
    <rPh sb="63" eb="65">
      <t>ジッコウ</t>
    </rPh>
    <rPh sb="65" eb="67">
      <t>シジ</t>
    </rPh>
    <rPh sb="68" eb="70">
      <t>タントウ</t>
    </rPh>
    <phoneticPr fontId="2"/>
  </si>
  <si>
    <t>Windows Server
SQL Server</t>
    <phoneticPr fontId="2"/>
  </si>
  <si>
    <t>通信
電話</t>
    <rPh sb="0" eb="2">
      <t>ツウシン</t>
    </rPh>
    <rPh sb="3" eb="5">
      <t>デンワ</t>
    </rPh>
    <phoneticPr fontId="2"/>
  </si>
  <si>
    <t>顧客管理(請求)
システム構築</t>
    <rPh sb="0" eb="2">
      <t>コキャク</t>
    </rPh>
    <rPh sb="2" eb="4">
      <t>カンリ</t>
    </rPh>
    <rPh sb="5" eb="7">
      <t>セイキュウ</t>
    </rPh>
    <rPh sb="13" eb="15">
      <t>コウチク</t>
    </rPh>
    <phoneticPr fontId="2"/>
  </si>
  <si>
    <t>電話料金(国際電話、滞納督促)請求システムデータベース移行(ADABAS→HiRDB)対応テスト支援として検証ジョブの実行管理(進捗)および障害管理(一次切り分け)を担当</t>
    <rPh sb="0" eb="2">
      <t>デンワ</t>
    </rPh>
    <rPh sb="2" eb="4">
      <t>リョウキン</t>
    </rPh>
    <rPh sb="15" eb="17">
      <t>セイキュウ</t>
    </rPh>
    <rPh sb="27" eb="29">
      <t>イコウ</t>
    </rPh>
    <rPh sb="43" eb="45">
      <t>タイオウ</t>
    </rPh>
    <rPh sb="48" eb="50">
      <t>シエン</t>
    </rPh>
    <rPh sb="53" eb="55">
      <t>ケンショウ</t>
    </rPh>
    <rPh sb="59" eb="61">
      <t>ジッコウ</t>
    </rPh>
    <rPh sb="61" eb="63">
      <t>カンリ</t>
    </rPh>
    <rPh sb="64" eb="66">
      <t>シンチョク</t>
    </rPh>
    <rPh sb="70" eb="72">
      <t>ショウガイ</t>
    </rPh>
    <rPh sb="72" eb="74">
      <t>カンリ</t>
    </rPh>
    <rPh sb="75" eb="77">
      <t>イチジ</t>
    </rPh>
    <rPh sb="77" eb="78">
      <t>キ</t>
    </rPh>
    <rPh sb="79" eb="80">
      <t>ワ</t>
    </rPh>
    <rPh sb="83" eb="85">
      <t>タントウ</t>
    </rPh>
    <phoneticPr fontId="2"/>
  </si>
  <si>
    <t>日立ホスト(VOS3)
ADABAS</t>
    <phoneticPr fontId="2"/>
  </si>
  <si>
    <t>損害保険</t>
    <rPh sb="0" eb="2">
      <t>ソンガイ</t>
    </rPh>
    <rPh sb="2" eb="4">
      <t>ホケン</t>
    </rPh>
    <phoneticPr fontId="2"/>
  </si>
  <si>
    <t>自動車保険システム
障害対応</t>
    <rPh sb="0" eb="3">
      <t>ジドウシャ</t>
    </rPh>
    <rPh sb="3" eb="5">
      <t>ホケン</t>
    </rPh>
    <rPh sb="10" eb="12">
      <t>ショウガイ</t>
    </rPh>
    <rPh sb="12" eb="14">
      <t>タイオウ</t>
    </rPh>
    <phoneticPr fontId="2"/>
  </si>
  <si>
    <t>ハードウェア(CMT装置)障害により破壊された自動車保険データの破損個所発見と復旧対応修復プログラムの設計・製造から実施検証までを担当合わせて対策チームサブリーダとしてチーム内の実行指示および顧客への経過報告も担当連携部分のデータ修復を行うにあたり自動車損害保険以外の契約データについても調査実施</t>
    <rPh sb="10" eb="12">
      <t>ソウチ</t>
    </rPh>
    <rPh sb="18" eb="20">
      <t>ハカイ</t>
    </rPh>
    <rPh sb="32" eb="34">
      <t>ハソン</t>
    </rPh>
    <rPh sb="34" eb="36">
      <t>カショ</t>
    </rPh>
    <rPh sb="36" eb="38">
      <t>ハッケン</t>
    </rPh>
    <rPh sb="39" eb="41">
      <t>フッキュウ</t>
    </rPh>
    <rPh sb="41" eb="43">
      <t>タイオウ</t>
    </rPh>
    <rPh sb="43" eb="45">
      <t>シュウフク</t>
    </rPh>
    <rPh sb="51" eb="53">
      <t>セッケイ</t>
    </rPh>
    <rPh sb="54" eb="56">
      <t>セイゾウ</t>
    </rPh>
    <rPh sb="58" eb="60">
      <t>ジッシ</t>
    </rPh>
    <rPh sb="60" eb="62">
      <t>ケンショウ</t>
    </rPh>
    <rPh sb="65" eb="67">
      <t>タントウ</t>
    </rPh>
    <rPh sb="67" eb="68">
      <t>ア</t>
    </rPh>
    <rPh sb="71" eb="73">
      <t>タイサク</t>
    </rPh>
    <rPh sb="87" eb="88">
      <t>ナイ</t>
    </rPh>
    <rPh sb="89" eb="91">
      <t>ジッコウ</t>
    </rPh>
    <rPh sb="91" eb="93">
      <t>シジ</t>
    </rPh>
    <rPh sb="96" eb="98">
      <t>コキャク</t>
    </rPh>
    <rPh sb="105" eb="107">
      <t>タントウ</t>
    </rPh>
    <rPh sb="107" eb="109">
      <t>レンケイ</t>
    </rPh>
    <rPh sb="109" eb="111">
      <t>ブブン</t>
    </rPh>
    <rPh sb="115" eb="117">
      <t>シュウフク</t>
    </rPh>
    <rPh sb="118" eb="119">
      <t>オコナ</t>
    </rPh>
    <rPh sb="124" eb="127">
      <t>ジドウシャ</t>
    </rPh>
    <rPh sb="127" eb="129">
      <t>ソンガイ</t>
    </rPh>
    <rPh sb="129" eb="131">
      <t>ホケン</t>
    </rPh>
    <rPh sb="131" eb="133">
      <t>イガイ</t>
    </rPh>
    <rPh sb="134" eb="136">
      <t>ケイヤク</t>
    </rPh>
    <rPh sb="144" eb="146">
      <t>チョウサ</t>
    </rPh>
    <rPh sb="146" eb="148">
      <t>ジッシ</t>
    </rPh>
    <phoneticPr fontId="2"/>
  </si>
  <si>
    <t>IBMホスト(z/OS)
日立ホスト(VOS3)</t>
    <phoneticPr fontId="2"/>
  </si>
  <si>
    <t>海外流通ソフト
国内販売
事業立ち上げ</t>
    <rPh sb="0" eb="2">
      <t>カイガイ</t>
    </rPh>
    <rPh sb="2" eb="4">
      <t>リュウツウ</t>
    </rPh>
    <rPh sb="8" eb="10">
      <t>コクナイ</t>
    </rPh>
    <rPh sb="10" eb="12">
      <t>ハンバイ</t>
    </rPh>
    <rPh sb="13" eb="15">
      <t>ジギョウ</t>
    </rPh>
    <rPh sb="15" eb="16">
      <t>タ</t>
    </rPh>
    <rPh sb="17" eb="18">
      <t>ア</t>
    </rPh>
    <phoneticPr fontId="2"/>
  </si>
  <si>
    <t xml:space="preserve">日本国内に流通していない海外ビジネスソフトを発掘し現地法人と交渉し日本国内における独占販売権を取得・販売を行う事業の新規立上げ製品評価、拡販および製品販売後のサポート対応を担当
</t>
    <rPh sb="0" eb="2">
      <t>ニホン</t>
    </rPh>
    <rPh sb="2" eb="4">
      <t>コクナイ</t>
    </rPh>
    <rPh sb="5" eb="7">
      <t>リュウツウ</t>
    </rPh>
    <rPh sb="12" eb="14">
      <t>カイガイ</t>
    </rPh>
    <rPh sb="22" eb="24">
      <t>ハックツ</t>
    </rPh>
    <rPh sb="25" eb="27">
      <t>ゲンチ</t>
    </rPh>
    <rPh sb="27" eb="29">
      <t>ホウジン</t>
    </rPh>
    <rPh sb="30" eb="32">
      <t>コウショウ</t>
    </rPh>
    <rPh sb="33" eb="35">
      <t>ニホン</t>
    </rPh>
    <rPh sb="35" eb="37">
      <t>コクナイ</t>
    </rPh>
    <rPh sb="41" eb="43">
      <t>ドクセン</t>
    </rPh>
    <rPh sb="43" eb="46">
      <t>ハンバイケン</t>
    </rPh>
    <rPh sb="47" eb="49">
      <t>シュトク</t>
    </rPh>
    <rPh sb="50" eb="52">
      <t>ハンバイ</t>
    </rPh>
    <rPh sb="53" eb="54">
      <t>オコナ</t>
    </rPh>
    <rPh sb="55" eb="57">
      <t>ジギョウ</t>
    </rPh>
    <rPh sb="58" eb="60">
      <t>シンキ</t>
    </rPh>
    <rPh sb="60" eb="62">
      <t>タチア</t>
    </rPh>
    <rPh sb="63" eb="65">
      <t>セイヒン</t>
    </rPh>
    <rPh sb="65" eb="67">
      <t>ヒョウカ</t>
    </rPh>
    <rPh sb="68" eb="70">
      <t>カクハン</t>
    </rPh>
    <rPh sb="73" eb="75">
      <t>セイヒン</t>
    </rPh>
    <rPh sb="75" eb="77">
      <t>ハンバイ</t>
    </rPh>
    <rPh sb="77" eb="78">
      <t>ゴ</t>
    </rPh>
    <rPh sb="83" eb="85">
      <t>タイオウ</t>
    </rPh>
    <rPh sb="86" eb="88">
      <t>タントウ</t>
    </rPh>
    <phoneticPr fontId="2"/>
  </si>
  <si>
    <t>DISK Quarter管理
RAS管理</t>
    <phoneticPr fontId="2"/>
  </si>
  <si>
    <t>県防災システム構築
（水防）</t>
    <rPh sb="0" eb="1">
      <t>ケン</t>
    </rPh>
    <rPh sb="1" eb="3">
      <t>ボウサイ</t>
    </rPh>
    <rPh sb="7" eb="9">
      <t>コウチク</t>
    </rPh>
    <rPh sb="11" eb="13">
      <t>スイボウ</t>
    </rPh>
    <phoneticPr fontId="2"/>
  </si>
  <si>
    <t>一級河川の水位を定時観測し自動的に県庁内のサーバへ通報する定点観測システムの構築ライブラリアンとしてソースの版管理およびMakeファイルの作成から配信までを担当</t>
    <rPh sb="0" eb="2">
      <t>イッキュウ</t>
    </rPh>
    <rPh sb="2" eb="4">
      <t>カセン</t>
    </rPh>
    <rPh sb="5" eb="7">
      <t>スイイ</t>
    </rPh>
    <rPh sb="8" eb="10">
      <t>テイジ</t>
    </rPh>
    <rPh sb="10" eb="12">
      <t>カンソク</t>
    </rPh>
    <rPh sb="13" eb="16">
      <t>ジドウテキ</t>
    </rPh>
    <rPh sb="17" eb="19">
      <t>ケンチョウ</t>
    </rPh>
    <rPh sb="19" eb="20">
      <t>ナイ</t>
    </rPh>
    <rPh sb="25" eb="27">
      <t>ツウホウ</t>
    </rPh>
    <rPh sb="29" eb="31">
      <t>テイテン</t>
    </rPh>
    <rPh sb="31" eb="33">
      <t>カンソク</t>
    </rPh>
    <rPh sb="38" eb="40">
      <t>コウチク</t>
    </rPh>
    <rPh sb="54" eb="55">
      <t>ハン</t>
    </rPh>
    <rPh sb="55" eb="57">
      <t>カンリ</t>
    </rPh>
    <rPh sb="69" eb="71">
      <t>サクセイ</t>
    </rPh>
    <rPh sb="73" eb="75">
      <t>ハイシン</t>
    </rPh>
    <rPh sb="78" eb="80">
      <t>タントウ</t>
    </rPh>
    <phoneticPr fontId="2"/>
  </si>
  <si>
    <t>マイクロコントローラ(H8)</t>
    <phoneticPr fontId="2"/>
  </si>
  <si>
    <t>生命保険</t>
    <rPh sb="0" eb="4">
      <t>セイメイホケン</t>
    </rPh>
    <phoneticPr fontId="2"/>
  </si>
  <si>
    <t>保険金支払い
審査システム
構築</t>
    <rPh sb="0" eb="2">
      <t>ホケン</t>
    </rPh>
    <rPh sb="2" eb="3">
      <t>キン</t>
    </rPh>
    <rPh sb="3" eb="5">
      <t>シハラ</t>
    </rPh>
    <rPh sb="7" eb="9">
      <t>シンサ</t>
    </rPh>
    <rPh sb="14" eb="16">
      <t>コウチク</t>
    </rPh>
    <phoneticPr fontId="2"/>
  </si>
  <si>
    <t>審査依頼FAXを画面上で見ながら受付担当者の審査から上長承認、支店回答まで行うワークフローシステムの新規構築プログラム製造からシステムテストまでを担当</t>
    <rPh sb="0" eb="2">
      <t>シンサ</t>
    </rPh>
    <rPh sb="2" eb="4">
      <t>イライ</t>
    </rPh>
    <rPh sb="8" eb="11">
      <t>ガメンジョウ</t>
    </rPh>
    <rPh sb="12" eb="13">
      <t>ミ</t>
    </rPh>
    <rPh sb="16" eb="18">
      <t>ウケツケ</t>
    </rPh>
    <rPh sb="18" eb="21">
      <t>タントウシャ</t>
    </rPh>
    <rPh sb="22" eb="24">
      <t>シンサ</t>
    </rPh>
    <rPh sb="26" eb="28">
      <t>ジョウチョウ</t>
    </rPh>
    <rPh sb="28" eb="30">
      <t>ショウニン</t>
    </rPh>
    <rPh sb="31" eb="33">
      <t>シテン</t>
    </rPh>
    <rPh sb="33" eb="35">
      <t>カイトウ</t>
    </rPh>
    <rPh sb="37" eb="38">
      <t>オコナ</t>
    </rPh>
    <rPh sb="50" eb="52">
      <t>シンキ</t>
    </rPh>
    <rPh sb="52" eb="54">
      <t>コウチク</t>
    </rPh>
    <rPh sb="59" eb="61">
      <t>セイゾウ</t>
    </rPh>
    <rPh sb="73" eb="75">
      <t>タントウ</t>
    </rPh>
    <phoneticPr fontId="2"/>
  </si>
  <si>
    <t>Windows NT
SQL Server
Visual C++</t>
    <phoneticPr fontId="2"/>
  </si>
  <si>
    <t>パッケージ製品
プラットフォーム移植</t>
    <rPh sb="5" eb="7">
      <t>セイヒン</t>
    </rPh>
    <rPh sb="16" eb="18">
      <t>イショク</t>
    </rPh>
    <phoneticPr fontId="2"/>
  </si>
  <si>
    <t>分散トランザクション製品(OpenTP1)のOS移植対応日立UNIX(Hi-Ux)から他社UNIX(HP-UX、Solaris)への移植における動作検証を担当</t>
    <rPh sb="0" eb="2">
      <t>ブンサン</t>
    </rPh>
    <rPh sb="10" eb="12">
      <t>セイヒン</t>
    </rPh>
    <rPh sb="24" eb="26">
      <t>イショク</t>
    </rPh>
    <rPh sb="26" eb="28">
      <t>タイオウ</t>
    </rPh>
    <rPh sb="28" eb="30">
      <t>ヒタチ</t>
    </rPh>
    <rPh sb="43" eb="45">
      <t>タシャ</t>
    </rPh>
    <rPh sb="66" eb="68">
      <t>イショク</t>
    </rPh>
    <rPh sb="72" eb="74">
      <t>ドウサ</t>
    </rPh>
    <rPh sb="74" eb="76">
      <t>ケンショウ</t>
    </rPh>
    <rPh sb="77" eb="79">
      <t>タントウ</t>
    </rPh>
    <phoneticPr fontId="2"/>
  </si>
  <si>
    <t>HP-UX
Solaris</t>
    <phoneticPr fontId="2"/>
  </si>
  <si>
    <t>パッケージ製品
他言語移植</t>
    <rPh sb="5" eb="7">
      <t>セイヒン</t>
    </rPh>
    <rPh sb="8" eb="9">
      <t>ホカ</t>
    </rPh>
    <rPh sb="9" eb="11">
      <t>ゲンゴ</t>
    </rPh>
    <rPh sb="11" eb="13">
      <t>イショク</t>
    </rPh>
    <phoneticPr fontId="2"/>
  </si>
  <si>
    <t>グループウェア製品(日立Groupmax)の海外輸出に伴うプログラム改修対応表示メッセージなどユーザインタフェイス部分の英語化既存プログラムソースの調査・修正から製品テストまでを担当</t>
    <rPh sb="7" eb="9">
      <t>セイヒン</t>
    </rPh>
    <rPh sb="10" eb="12">
      <t>ヒタチ</t>
    </rPh>
    <rPh sb="22" eb="24">
      <t>カイガイ</t>
    </rPh>
    <rPh sb="24" eb="26">
      <t>ユシュツ</t>
    </rPh>
    <rPh sb="27" eb="28">
      <t>トモナ</t>
    </rPh>
    <rPh sb="34" eb="36">
      <t>カイシュウ</t>
    </rPh>
    <rPh sb="36" eb="38">
      <t>タイオウ</t>
    </rPh>
    <rPh sb="38" eb="40">
      <t>ヒョウジ</t>
    </rPh>
    <rPh sb="57" eb="59">
      <t>ブブン</t>
    </rPh>
    <rPh sb="60" eb="62">
      <t>エイゴ</t>
    </rPh>
    <rPh sb="63" eb="65">
      <t>キゾン</t>
    </rPh>
    <rPh sb="74" eb="76">
      <t>チョウサ</t>
    </rPh>
    <rPh sb="81" eb="83">
      <t>セイヒン</t>
    </rPh>
    <rPh sb="89" eb="91">
      <t>タントウ</t>
    </rPh>
    <phoneticPr fontId="2"/>
  </si>
  <si>
    <t>Windows NT
Solaris</t>
    <phoneticPr fontId="2"/>
  </si>
  <si>
    <t>電話工事
予約管理システム
構築</t>
    <rPh sb="0" eb="2">
      <t>デンワ</t>
    </rPh>
    <rPh sb="2" eb="4">
      <t>コウジ</t>
    </rPh>
    <rPh sb="5" eb="7">
      <t>ヨヤク</t>
    </rPh>
    <rPh sb="7" eb="9">
      <t>カンリ</t>
    </rPh>
    <rPh sb="14" eb="16">
      <t>コウチク</t>
    </rPh>
    <phoneticPr fontId="2"/>
  </si>
  <si>
    <t>電話事業者新規参入に伴う、回線工事予約受付システムの新規構築オンライン画面を中心に基本設計からプログラム製造、運用テストまでを担当</t>
    <rPh sb="0" eb="2">
      <t>デンワ</t>
    </rPh>
    <rPh sb="2" eb="5">
      <t>ジギョウシャ</t>
    </rPh>
    <rPh sb="5" eb="7">
      <t>シンキ</t>
    </rPh>
    <rPh sb="7" eb="9">
      <t>サンニュウ</t>
    </rPh>
    <rPh sb="10" eb="11">
      <t>トモナ</t>
    </rPh>
    <rPh sb="13" eb="15">
      <t>カイセン</t>
    </rPh>
    <rPh sb="15" eb="17">
      <t>コウジ</t>
    </rPh>
    <rPh sb="17" eb="19">
      <t>ヨヤク</t>
    </rPh>
    <rPh sb="19" eb="21">
      <t>ウケツケ</t>
    </rPh>
    <rPh sb="26" eb="28">
      <t>シンキ</t>
    </rPh>
    <rPh sb="28" eb="30">
      <t>コウチク</t>
    </rPh>
    <rPh sb="35" eb="37">
      <t>ガメン</t>
    </rPh>
    <rPh sb="38" eb="40">
      <t>チュウシン</t>
    </rPh>
    <rPh sb="41" eb="43">
      <t>キホン</t>
    </rPh>
    <rPh sb="43" eb="45">
      <t>セッケイ</t>
    </rPh>
    <rPh sb="52" eb="54">
      <t>セイゾウ</t>
    </rPh>
    <rPh sb="55" eb="57">
      <t>ウンヨウ</t>
    </rPh>
    <rPh sb="63" eb="65">
      <t>タントウ</t>
    </rPh>
    <phoneticPr fontId="2"/>
  </si>
  <si>
    <t>富士通ホスト(MSP)
RDB</t>
    <rPh sb="0" eb="3">
      <t>フジツウ</t>
    </rPh>
    <phoneticPr fontId="2"/>
  </si>
  <si>
    <t>小売り
衣料品</t>
    <rPh sb="0" eb="2">
      <t>コウ</t>
    </rPh>
    <rPh sb="4" eb="7">
      <t>イリョウヒン</t>
    </rPh>
    <phoneticPr fontId="2"/>
  </si>
  <si>
    <t>データ移行</t>
    <rPh sb="3" eb="5">
      <t>イコウ</t>
    </rPh>
    <phoneticPr fontId="2"/>
  </si>
  <si>
    <t>新商品大量入れ替えに伴うデータフォーマット(ファイルレイアウト)変更対応データ移行プログラム設計・製造から運用(移行)テストまでを担当</t>
    <rPh sb="0" eb="1">
      <t>シン</t>
    </rPh>
    <rPh sb="1" eb="3">
      <t>ショウヒン</t>
    </rPh>
    <rPh sb="3" eb="5">
      <t>タイリョウ</t>
    </rPh>
    <rPh sb="5" eb="6">
      <t>イ</t>
    </rPh>
    <rPh sb="7" eb="8">
      <t>カ</t>
    </rPh>
    <rPh sb="10" eb="11">
      <t>トモナ</t>
    </rPh>
    <rPh sb="32" eb="34">
      <t>ヘンコウ</t>
    </rPh>
    <rPh sb="34" eb="36">
      <t>タイオウ</t>
    </rPh>
    <rPh sb="39" eb="41">
      <t>イコウ</t>
    </rPh>
    <rPh sb="46" eb="48">
      <t>セッケイ</t>
    </rPh>
    <rPh sb="49" eb="51">
      <t>セイゾウ</t>
    </rPh>
    <rPh sb="53" eb="55">
      <t>ウンヨウ</t>
    </rPh>
    <rPh sb="56" eb="58">
      <t>イコウ</t>
    </rPh>
    <rPh sb="65" eb="67">
      <t>タントウ</t>
    </rPh>
    <phoneticPr fontId="2"/>
  </si>
  <si>
    <t>富士通ホスト(ESPⅢ)
VSAM</t>
    <rPh sb="0" eb="3">
      <t>フジツウ</t>
    </rPh>
    <phoneticPr fontId="2"/>
  </si>
  <si>
    <t>小売り
ヘアーケアー</t>
    <rPh sb="0" eb="2">
      <t>コウ</t>
    </rPh>
    <phoneticPr fontId="2"/>
  </si>
  <si>
    <t>既存稼働中の倉庫在庫管理システムのオンライン機能追加エントリ画面および関連DB追加対応画面・DBテーブル設計から製造・運用テストまでを担当</t>
    <rPh sb="0" eb="2">
      <t>キゾン</t>
    </rPh>
    <rPh sb="2" eb="5">
      <t>カドウチュウ</t>
    </rPh>
    <rPh sb="6" eb="8">
      <t>ソウコ</t>
    </rPh>
    <rPh sb="8" eb="10">
      <t>ザイコ</t>
    </rPh>
    <rPh sb="10" eb="12">
      <t>カンリ</t>
    </rPh>
    <rPh sb="22" eb="24">
      <t>キノウ</t>
    </rPh>
    <rPh sb="24" eb="26">
      <t>ツイカ</t>
    </rPh>
    <rPh sb="30" eb="32">
      <t>ガメン</t>
    </rPh>
    <rPh sb="35" eb="37">
      <t>カンレン</t>
    </rPh>
    <rPh sb="39" eb="41">
      <t>ツイカ</t>
    </rPh>
    <rPh sb="41" eb="43">
      <t>タイオウ</t>
    </rPh>
    <rPh sb="43" eb="45">
      <t>ガメン</t>
    </rPh>
    <rPh sb="52" eb="54">
      <t>セッケイ</t>
    </rPh>
    <rPh sb="59" eb="61">
      <t>ウンヨウ</t>
    </rPh>
    <phoneticPr fontId="2"/>
  </si>
  <si>
    <t>富士通ホスト(FSP/X8)
VSAM</t>
    <rPh sb="0" eb="3">
      <t>フジツウ</t>
    </rPh>
    <phoneticPr fontId="2"/>
  </si>
  <si>
    <t>小売り
石油</t>
    <rPh sb="0" eb="2">
      <t>コウ</t>
    </rPh>
    <rPh sb="4" eb="6">
      <t>セキユ</t>
    </rPh>
    <phoneticPr fontId="2"/>
  </si>
  <si>
    <t>軽油税申告管理
システム構築</t>
    <rPh sb="0" eb="2">
      <t>ケイユ</t>
    </rPh>
    <rPh sb="2" eb="3">
      <t>ゼイ</t>
    </rPh>
    <rPh sb="3" eb="5">
      <t>シンコク</t>
    </rPh>
    <rPh sb="5" eb="7">
      <t>カンリ</t>
    </rPh>
    <rPh sb="12" eb="14">
      <t>コウチク</t>
    </rPh>
    <phoneticPr fontId="2"/>
  </si>
  <si>
    <t>富士通中型オフコンCSP/FXにて稼働中の旧システム(軽油税申告システム)のメインフレームOSIV/ESPIII移行対応税法改正に伴う申告帳票多数追加画面系・バッチ系のプログラム設計・製造・テストから本番稼動開始後の運用保守までを一貫して担当</t>
    <rPh sb="0" eb="3">
      <t>フジツウ</t>
    </rPh>
    <rPh sb="3" eb="5">
      <t>チュウガタ</t>
    </rPh>
    <rPh sb="17" eb="20">
      <t>カドウチュウ</t>
    </rPh>
    <rPh sb="21" eb="22">
      <t>キュウ</t>
    </rPh>
    <rPh sb="27" eb="29">
      <t>ケイユ</t>
    </rPh>
    <rPh sb="29" eb="30">
      <t>ゼイ</t>
    </rPh>
    <rPh sb="30" eb="32">
      <t>シンコク</t>
    </rPh>
    <rPh sb="56" eb="58">
      <t>イコウ</t>
    </rPh>
    <rPh sb="58" eb="60">
      <t>タイオウ</t>
    </rPh>
    <rPh sb="60" eb="62">
      <t>ゼイホウ</t>
    </rPh>
    <rPh sb="62" eb="64">
      <t>カイセイ</t>
    </rPh>
    <rPh sb="65" eb="66">
      <t>トモナ</t>
    </rPh>
    <rPh sb="75" eb="77">
      <t>ガメン</t>
    </rPh>
    <rPh sb="77" eb="78">
      <t>ケイ</t>
    </rPh>
    <rPh sb="82" eb="83">
      <t>ケイ</t>
    </rPh>
    <rPh sb="89" eb="91">
      <t>セッケイ</t>
    </rPh>
    <rPh sb="92" eb="94">
      <t>セイゾウ</t>
    </rPh>
    <rPh sb="100" eb="102">
      <t>ホンバン</t>
    </rPh>
    <rPh sb="102" eb="104">
      <t>カドウ</t>
    </rPh>
    <rPh sb="104" eb="107">
      <t>カイシゴ</t>
    </rPh>
    <rPh sb="108" eb="110">
      <t>ウンヨウ</t>
    </rPh>
    <rPh sb="110" eb="112">
      <t>ホシュ</t>
    </rPh>
    <rPh sb="115" eb="117">
      <t>イッカン</t>
    </rPh>
    <rPh sb="119" eb="121">
      <t>タントウ</t>
    </rPh>
    <phoneticPr fontId="2"/>
  </si>
  <si>
    <t>IT機器メーカー
販社</t>
    <rPh sb="2" eb="4">
      <t>キキ</t>
    </rPh>
    <rPh sb="9" eb="11">
      <t>ハンシャ</t>
    </rPh>
    <phoneticPr fontId="2"/>
  </si>
  <si>
    <t>販売管理システム
経理会計システム
構築</t>
    <rPh sb="0" eb="2">
      <t>ハンバイ</t>
    </rPh>
    <rPh sb="2" eb="4">
      <t>カンリ</t>
    </rPh>
    <rPh sb="9" eb="11">
      <t>ケイリ</t>
    </rPh>
    <rPh sb="11" eb="13">
      <t>カイケイ</t>
    </rPh>
    <rPh sb="18" eb="20">
      <t>コウチク</t>
    </rPh>
    <phoneticPr fontId="2"/>
  </si>
  <si>
    <t>富士通中型オフコンCSP/FXにて稼働中の旧サブシステム(経理会計・販売管理)のメインフレームOSIV/ESPIII移行対応移行後のデータ統合を踏まえた機能設計画面系・バッチ系のプログラム設計・製造・テストから本番稼動開始後の運用保守までを一貫して担当</t>
    <rPh sb="0" eb="3">
      <t>フジツウ</t>
    </rPh>
    <rPh sb="3" eb="5">
      <t>チュウガタ</t>
    </rPh>
    <rPh sb="17" eb="20">
      <t>カドウチュウ</t>
    </rPh>
    <rPh sb="21" eb="22">
      <t>キュウ</t>
    </rPh>
    <rPh sb="29" eb="31">
      <t>ケイリ</t>
    </rPh>
    <rPh sb="31" eb="33">
      <t>カイケイ</t>
    </rPh>
    <rPh sb="34" eb="36">
      <t>ハンバイ</t>
    </rPh>
    <rPh sb="36" eb="38">
      <t>カンリ</t>
    </rPh>
    <rPh sb="58" eb="60">
      <t>イコウ</t>
    </rPh>
    <rPh sb="60" eb="62">
      <t>タイオウ</t>
    </rPh>
    <rPh sb="62" eb="64">
      <t>イコウ</t>
    </rPh>
    <rPh sb="64" eb="65">
      <t>ゴ</t>
    </rPh>
    <rPh sb="69" eb="71">
      <t>トウゴウ</t>
    </rPh>
    <rPh sb="72" eb="73">
      <t>フ</t>
    </rPh>
    <rPh sb="76" eb="78">
      <t>キノウ</t>
    </rPh>
    <rPh sb="78" eb="80">
      <t>セッケイ</t>
    </rPh>
    <rPh sb="80" eb="82">
      <t>ガメン</t>
    </rPh>
    <rPh sb="82" eb="83">
      <t>ケイ</t>
    </rPh>
    <rPh sb="87" eb="88">
      <t>ケイ</t>
    </rPh>
    <rPh sb="94" eb="96">
      <t>セッケイ</t>
    </rPh>
    <rPh sb="97" eb="99">
      <t>セイゾウ</t>
    </rPh>
    <rPh sb="105" eb="107">
      <t>ホンバン</t>
    </rPh>
    <rPh sb="107" eb="109">
      <t>カドウ</t>
    </rPh>
    <rPh sb="109" eb="112">
      <t>カイシゴ</t>
    </rPh>
    <rPh sb="113" eb="115">
      <t>ウンヨウ</t>
    </rPh>
    <rPh sb="115" eb="117">
      <t>ホシュ</t>
    </rPh>
    <rPh sb="120" eb="122">
      <t>イッカン</t>
    </rPh>
    <rPh sb="124" eb="126">
      <t>タントウ</t>
    </rPh>
    <phoneticPr fontId="2"/>
  </si>
  <si>
    <t>外食産業</t>
    <rPh sb="0" eb="2">
      <t>ガイショク</t>
    </rPh>
    <rPh sb="2" eb="4">
      <t>サンギョウ</t>
    </rPh>
    <phoneticPr fontId="2"/>
  </si>
  <si>
    <t>給食注文管理
システム構築</t>
    <rPh sb="0" eb="2">
      <t>キュウショク</t>
    </rPh>
    <rPh sb="2" eb="4">
      <t>チュウモン</t>
    </rPh>
    <rPh sb="4" eb="6">
      <t>カンリ</t>
    </rPh>
    <rPh sb="11" eb="13">
      <t>コウチク</t>
    </rPh>
    <phoneticPr fontId="2"/>
  </si>
  <si>
    <t>業務拡張に伴い給食注文システムの新規構築オンライン画面から、帳票出力・日次・月次バッチ処理までのプログラム製造からシステムテストまでを担当</t>
    <rPh sb="0" eb="2">
      <t>ギョウム</t>
    </rPh>
    <rPh sb="2" eb="4">
      <t>カクチョウ</t>
    </rPh>
    <rPh sb="5" eb="6">
      <t>トモナ</t>
    </rPh>
    <rPh sb="7" eb="9">
      <t>キュウショク</t>
    </rPh>
    <rPh sb="9" eb="11">
      <t>チュウモン</t>
    </rPh>
    <rPh sb="16" eb="18">
      <t>シンキ</t>
    </rPh>
    <rPh sb="18" eb="20">
      <t>コウチク</t>
    </rPh>
    <rPh sb="25" eb="27">
      <t>ガメン</t>
    </rPh>
    <rPh sb="30" eb="32">
      <t>チョウヒョウ</t>
    </rPh>
    <rPh sb="32" eb="34">
      <t>シュツリョク</t>
    </rPh>
    <rPh sb="35" eb="37">
      <t>ニチジ</t>
    </rPh>
    <rPh sb="38" eb="40">
      <t>ゲツジ</t>
    </rPh>
    <rPh sb="43" eb="45">
      <t>ショリ</t>
    </rPh>
    <rPh sb="53" eb="55">
      <t>セイゾウ</t>
    </rPh>
    <rPh sb="67" eb="69">
      <t>タントウ</t>
    </rPh>
    <phoneticPr fontId="2"/>
  </si>
  <si>
    <t>水道事業</t>
    <rPh sb="0" eb="2">
      <t>スイドウ</t>
    </rPh>
    <rPh sb="2" eb="4">
      <t>ジギョウ</t>
    </rPh>
    <phoneticPr fontId="2"/>
  </si>
  <si>
    <t>経理統計
システム構築</t>
    <rPh sb="0" eb="2">
      <t>ケイリ</t>
    </rPh>
    <rPh sb="2" eb="4">
      <t>トウケイ</t>
    </rPh>
    <rPh sb="9" eb="11">
      <t>コウチク</t>
    </rPh>
    <phoneticPr fontId="2"/>
  </si>
  <si>
    <t>既存システムの経理データに対して分析を行い、統計情報を出力する帳票機能追加対応チームメンバとしてプログラムの製造から結合テストまでを担当</t>
    <rPh sb="0" eb="2">
      <t>キゾン</t>
    </rPh>
    <rPh sb="7" eb="9">
      <t>ケイリ</t>
    </rPh>
    <rPh sb="13" eb="14">
      <t>タイ</t>
    </rPh>
    <rPh sb="16" eb="18">
      <t>ブンセキ</t>
    </rPh>
    <rPh sb="19" eb="20">
      <t>オコナ</t>
    </rPh>
    <rPh sb="22" eb="24">
      <t>トウケイ</t>
    </rPh>
    <rPh sb="24" eb="26">
      <t>ジョウホウ</t>
    </rPh>
    <rPh sb="27" eb="29">
      <t>シュツリョク</t>
    </rPh>
    <rPh sb="31" eb="33">
      <t>チョウヒョウ</t>
    </rPh>
    <rPh sb="33" eb="35">
      <t>キノウ</t>
    </rPh>
    <rPh sb="35" eb="37">
      <t>ツイカ</t>
    </rPh>
    <rPh sb="37" eb="39">
      <t>タイオウ</t>
    </rPh>
    <rPh sb="54" eb="56">
      <t>セイゾウ</t>
    </rPh>
    <rPh sb="58" eb="60">
      <t>ケツゴウ</t>
    </rPh>
    <rPh sb="66" eb="68">
      <t>タントウ</t>
    </rPh>
    <phoneticPr fontId="2"/>
  </si>
  <si>
    <t>プロジェクト管理、テストリード、移行、運用保守</t>
    <rPh sb="6" eb="8">
      <t>カンリ</t>
    </rPh>
    <phoneticPr fontId="2"/>
  </si>
  <si>
    <t>基幹システム構築
データ移行</t>
    <rPh sb="0" eb="2">
      <t>キカン</t>
    </rPh>
    <rPh sb="6" eb="8">
      <t>コウチク</t>
    </rPh>
    <rPh sb="12" eb="14">
      <t>イコウ</t>
    </rPh>
    <phoneticPr fontId="2"/>
  </si>
  <si>
    <t>57歳</t>
    <rPh sb="2" eb="3">
      <t>サイ</t>
    </rPh>
    <phoneticPr fontId="2"/>
  </si>
  <si>
    <t>ユーザーサイド社員代替</t>
    <rPh sb="7" eb="9">
      <t>シャイン</t>
    </rPh>
    <rPh sb="9" eb="11">
      <t>ダイタイ</t>
    </rPh>
    <phoneticPr fontId="2"/>
  </si>
  <si>
    <t>社員代替</t>
    <rPh sb="0" eb="2">
      <t>シャイン</t>
    </rPh>
    <rPh sb="2" eb="4">
      <t>ダイタイ</t>
    </rPh>
    <phoneticPr fontId="2"/>
  </si>
  <si>
    <t>SalesForce</t>
    <phoneticPr fontId="2"/>
  </si>
  <si>
    <t>保守開発</t>
    <rPh sb="0" eb="2">
      <t>ホシュ</t>
    </rPh>
    <rPh sb="2" eb="4">
      <t>カイハツ</t>
    </rPh>
    <phoneticPr fontId="2"/>
  </si>
  <si>
    <t>営業管理システム(SFA)の機能追加開発
営業現場要望吸い上げから機能追加開発選定
社内承認資料、開発品質報告資料作成</t>
    <rPh sb="0" eb="2">
      <t>エイギョウ</t>
    </rPh>
    <rPh sb="2" eb="4">
      <t>カンリ</t>
    </rPh>
    <rPh sb="14" eb="18">
      <t>キノウツイカ</t>
    </rPh>
    <rPh sb="18" eb="20">
      <t>カイハツ</t>
    </rPh>
    <rPh sb="21" eb="23">
      <t>エイギョウ</t>
    </rPh>
    <rPh sb="23" eb="25">
      <t>ゲンバ</t>
    </rPh>
    <rPh sb="25" eb="27">
      <t>ヨウボウ</t>
    </rPh>
    <rPh sb="27" eb="28">
      <t>ス</t>
    </rPh>
    <rPh sb="29" eb="30">
      <t>ア</t>
    </rPh>
    <rPh sb="33" eb="37">
      <t>キノウツイカ</t>
    </rPh>
    <rPh sb="37" eb="39">
      <t>カイハツ</t>
    </rPh>
    <rPh sb="39" eb="41">
      <t>センテイ</t>
    </rPh>
    <rPh sb="42" eb="44">
      <t>シャナイ</t>
    </rPh>
    <rPh sb="44" eb="46">
      <t>ショウニン</t>
    </rPh>
    <rPh sb="46" eb="48">
      <t>シリョウ</t>
    </rPh>
    <rPh sb="49" eb="51">
      <t>カイハツ</t>
    </rPh>
    <rPh sb="51" eb="53">
      <t>ヒンシツ</t>
    </rPh>
    <rPh sb="53" eb="55">
      <t>ホウコク</t>
    </rPh>
    <rPh sb="55" eb="57">
      <t>シリョウ</t>
    </rPh>
    <rPh sb="57" eb="59">
      <t>サクセイ</t>
    </rPh>
    <phoneticPr fontId="2"/>
  </si>
  <si>
    <t>国内最大手総合小売企業 ＥＣサイト保守開発（テスト）
定期リリースにおけるシステムテストチームリーダー
外部ベンダー20名＋内製40名のテストチームリーダー
要員計画、実施計画、実施、上層部報告全般対応</t>
    <rPh sb="27" eb="29">
      <t>テイキ</t>
    </rPh>
    <rPh sb="62" eb="64">
      <t>ナイセイ</t>
    </rPh>
    <rPh sb="66" eb="67">
      <t>メイ</t>
    </rPh>
    <rPh sb="79" eb="81">
      <t>ヨウイン</t>
    </rPh>
    <rPh sb="81" eb="83">
      <t>ケイカク</t>
    </rPh>
    <rPh sb="84" eb="88">
      <t>ジッシケイカク</t>
    </rPh>
    <rPh sb="89" eb="91">
      <t>ジッシ</t>
    </rPh>
    <rPh sb="92" eb="95">
      <t>ジョウソウブ</t>
    </rPh>
    <rPh sb="95" eb="97">
      <t>ホウコク</t>
    </rPh>
    <rPh sb="97" eb="99">
      <t>ゼンパン</t>
    </rPh>
    <rPh sb="99" eb="101">
      <t>タイオウ</t>
    </rPh>
    <phoneticPr fontId="2"/>
  </si>
  <si>
    <t>クレジット会社三社の基幹システム統合プロジェクト
請負ベンダー側ＰＭとして参画
要員管理、委託先管理、予算管理、品質管理、再委託先管理</t>
    <rPh sb="5" eb="7">
      <t>カイシャ</t>
    </rPh>
    <rPh sb="7" eb="9">
      <t>サンシャ</t>
    </rPh>
    <rPh sb="10" eb="12">
      <t>キカン</t>
    </rPh>
    <rPh sb="16" eb="18">
      <t>トウゴウ</t>
    </rPh>
    <rPh sb="31" eb="32">
      <t>ガワ</t>
    </rPh>
    <rPh sb="37" eb="39">
      <t>サンカク</t>
    </rPh>
    <rPh sb="56" eb="58">
      <t>ヒンシツ</t>
    </rPh>
    <rPh sb="58" eb="60">
      <t>カンリ</t>
    </rPh>
    <rPh sb="61" eb="65">
      <t>サイイタクサキ</t>
    </rPh>
    <rPh sb="65" eb="67">
      <t>カンリ</t>
    </rPh>
    <phoneticPr fontId="2"/>
  </si>
  <si>
    <t>AWS(Linux)
ServiceNow
Splunk
Confluence</t>
    <phoneticPr fontId="2"/>
  </si>
  <si>
    <t>国内外店舗、社内関連部門からのシステム関連問い合わせに対する、高度調査対応チーム立ち上げ
本番稼働アラート24時間365日監視体制構築
Splunkを利用したシステムログ監視(JP1ジョブログ、Webログ)
画面数：約300、バッチ：1000超え
社内利用者数：3,000人超え</t>
    <rPh sb="0" eb="3">
      <t>コクナイガイ</t>
    </rPh>
    <rPh sb="3" eb="5">
      <t>テンポ</t>
    </rPh>
    <rPh sb="6" eb="8">
      <t>シャナイ</t>
    </rPh>
    <rPh sb="8" eb="10">
      <t>カンレン</t>
    </rPh>
    <rPh sb="10" eb="12">
      <t>ブモン</t>
    </rPh>
    <rPh sb="19" eb="21">
      <t>カンレン</t>
    </rPh>
    <rPh sb="21" eb="22">
      <t>ト</t>
    </rPh>
    <rPh sb="23" eb="24">
      <t>ア</t>
    </rPh>
    <rPh sb="27" eb="28">
      <t>タイ</t>
    </rPh>
    <rPh sb="31" eb="33">
      <t>コウド</t>
    </rPh>
    <rPh sb="33" eb="35">
      <t>チョウサ</t>
    </rPh>
    <rPh sb="35" eb="37">
      <t>タイオウ</t>
    </rPh>
    <rPh sb="40" eb="41">
      <t>タ</t>
    </rPh>
    <rPh sb="42" eb="43">
      <t>ア</t>
    </rPh>
    <rPh sb="45" eb="47">
      <t>ホンバン</t>
    </rPh>
    <rPh sb="47" eb="49">
      <t>カドウ</t>
    </rPh>
    <rPh sb="55" eb="57">
      <t>ジカン</t>
    </rPh>
    <rPh sb="60" eb="61">
      <t>ヒ</t>
    </rPh>
    <rPh sb="61" eb="65">
      <t>カンシタイセイ</t>
    </rPh>
    <rPh sb="65" eb="67">
      <t>コウチク</t>
    </rPh>
    <rPh sb="75" eb="77">
      <t>リヨウ</t>
    </rPh>
    <rPh sb="85" eb="87">
      <t>カンシ</t>
    </rPh>
    <rPh sb="108" eb="109">
      <t>ヤク</t>
    </rPh>
    <rPh sb="121" eb="122">
      <t>コ</t>
    </rPh>
    <rPh sb="124" eb="126">
      <t>シャナイ</t>
    </rPh>
    <rPh sb="126" eb="129">
      <t>リヨウシャ</t>
    </rPh>
    <rPh sb="129" eb="130">
      <t>スウ</t>
    </rPh>
    <rPh sb="136" eb="137">
      <t>ヒト</t>
    </rPh>
    <rPh sb="137" eb="138">
      <t>コ</t>
    </rPh>
    <phoneticPr fontId="2"/>
  </si>
  <si>
    <t>証券会社向け保険代理店システム リニューアル
ＰＭサポートとして開発チームの進捗管理・課題管理を担当
JP1ジョブログ監視、体制構築
後期はバッチジョブ350本の運用管理を担当</t>
    <rPh sb="0" eb="2">
      <t>ショウケン</t>
    </rPh>
    <rPh sb="2" eb="4">
      <t>ガイシャ</t>
    </rPh>
    <rPh sb="4" eb="5">
      <t>ム</t>
    </rPh>
    <rPh sb="6" eb="8">
      <t>ホケン</t>
    </rPh>
    <rPh sb="8" eb="11">
      <t>ダイリテン</t>
    </rPh>
    <rPh sb="32" eb="34">
      <t>カイハツ</t>
    </rPh>
    <rPh sb="38" eb="40">
      <t>シンチョク</t>
    </rPh>
    <rPh sb="40" eb="42">
      <t>カンリ</t>
    </rPh>
    <rPh sb="43" eb="45">
      <t>カダイ</t>
    </rPh>
    <rPh sb="45" eb="47">
      <t>カンリ</t>
    </rPh>
    <rPh sb="48" eb="50">
      <t>タントウ</t>
    </rPh>
    <rPh sb="59" eb="61">
      <t>カンシ</t>
    </rPh>
    <rPh sb="62" eb="64">
      <t>タイセイ</t>
    </rPh>
    <rPh sb="64" eb="66">
      <t>コウチク</t>
    </rPh>
    <rPh sb="67" eb="69">
      <t>コウキ</t>
    </rPh>
    <rPh sb="79" eb="80">
      <t>ホン</t>
    </rPh>
    <rPh sb="81" eb="83">
      <t>ウンヨウ</t>
    </rPh>
    <rPh sb="83" eb="85">
      <t>カンリ</t>
    </rPh>
    <rPh sb="86" eb="88">
      <t>タントウ</t>
    </rPh>
    <phoneticPr fontId="2"/>
  </si>
  <si>
    <t>金融
銀行
メガバンク</t>
    <rPh sb="0" eb="2">
      <t>キンユウ</t>
    </rPh>
    <rPh sb="3" eb="5">
      <t>ギンコウ</t>
    </rPh>
    <phoneticPr fontId="2"/>
  </si>
  <si>
    <t>最終更新：2026/6/1</t>
    <rPh sb="0" eb="2">
      <t>サイシュウ</t>
    </rPh>
    <rPh sb="2" eb="4">
      <t>コウシン</t>
    </rPh>
    <phoneticPr fontId="2"/>
  </si>
  <si>
    <t>S.H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</si>
</sst>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
    <numFmt numFmtId="177" formatCode="&quot;～&quot;yyyy/mm"/>
    <numFmt numFmtId="178" formatCode="0_);[Red]\(0\)"/>
  </numFmts>
  <fonts count="21" x14ac:knownFonts="1">
    <font>
      <sz val="11"/>
      <name val="ＭＳ Ｐゴシック"/>
      <family val="3"/>
      <charset val="128"/>
    </font>
    <font>
      <sz val="11"/>
      <name val="ＭＳ Ｐゴシック"/>
      <family val="3"/>
      <charset val="128"/>
    </font>
    <font>
      <sz val="6"/>
      <name val="ＭＳ Ｐゴシック"/>
      <family val="3"/>
      <charset val="128"/>
    </font>
    <font>
      <sz val="11"/>
      <name val="Meiryo UI"/>
      <family val="3"/>
      <charset val="128"/>
    </font>
    <font>
      <sz val="12"/>
      <name val="Meiryo UI"/>
      <family val="3"/>
      <charset val="128"/>
    </font>
    <font>
      <b/>
      <sz val="11"/>
      <name val="Meiryo UI"/>
      <family val="3"/>
      <charset val="128"/>
    </font>
    <font>
      <sz val="10"/>
      <name val="Meiryo UI"/>
      <family val="3"/>
      <charset val="128"/>
    </font>
    <font>
      <b/>
      <sz val="12"/>
      <name val="Meiryo UI"/>
      <family val="3"/>
      <charset val="128"/>
    </font>
    <font>
      <b/>
      <sz val="14"/>
      <name val="Meiryo UI"/>
      <family val="3"/>
      <charset val="128"/>
    </font>
    <font>
      <sz val="9"/>
      <name val="Meiryo UI"/>
      <family val="3"/>
      <charset val="128"/>
    </font>
    <font>
      <b/>
      <sz val="10"/>
      <name val="Meiryo UI"/>
      <family val="3"/>
      <charset val="128"/>
    </font>
    <font>
      <b/>
      <sz val="8"/>
      <name val="Meiryo UI"/>
      <family val="3"/>
      <charset val="128"/>
    </font>
    <font>
      <b/>
      <sz val="11"/>
      <color theme="0"/>
      <name val="Meiryo UI"/>
      <family val="3"/>
      <charset val="128"/>
    </font>
    <font>
      <sz val="11"/>
      <color rgb="FFFFFFFF"/>
      <name val="Meiryo UI"/>
      <family val="3"/>
      <charset val="128"/>
    </font>
    <font>
      <sz val="11"/>
      <color rgb="FF000000"/>
      <name val="Meiryo UI"/>
      <family val="3"/>
      <charset val="128"/>
    </font>
    <font>
      <b/>
      <sz val="11"/>
      <color rgb="FFFFFFFF"/>
      <name val="Meiryo UI"/>
      <family val="3"/>
      <charset val="128"/>
    </font>
    <font>
      <sz val="11"/>
      <color theme="0" tint="-0.499984740745262"/>
      <name val="Meiryo UI"/>
      <family val="3"/>
      <charset val="128"/>
    </font>
    <font>
      <sz val="12"/>
      <color theme="0" tint="-0.499984740745262"/>
      <name val="Meiryo UI"/>
      <family val="3"/>
      <charset val="128"/>
    </font>
    <font>
      <b/>
      <sz val="11"/>
      <name val="ＭＳ Ｐゴシック"/>
      <family val="3"/>
      <charset val="128"/>
      <scheme val="major"/>
    </font>
    <font>
      <sz val="11"/>
      <color theme="0"/>
      <name val="Meiryo UI"/>
      <family val="3"/>
      <charset val="128"/>
    </font>
    <font>
      <sz val="12"/>
      <color theme="0"/>
      <name val="Meiryo UI"/>
      <family val="3"/>
      <charset val="128"/>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rgb="FF002060"/>
        <bgColor indexed="64"/>
      </patternFill>
    </fill>
    <fill>
      <patternFill patternType="solid">
        <fgColor theme="0" tint="-0.14999847407452621"/>
        <bgColor indexed="64"/>
      </patternFill>
    </fill>
  </fills>
  <borders count="97">
    <border>
      <left/>
      <right/>
      <top/>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9"/>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rgb="FFFFFFFF"/>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indexed="9"/>
      </left>
      <right/>
      <top style="thin">
        <color indexed="64"/>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right style="thin">
        <color rgb="FFFFFFFF"/>
      </right>
      <top/>
      <bottom/>
      <diagonal/>
    </border>
    <border>
      <left style="thin">
        <color indexed="64"/>
      </left>
      <right/>
      <top style="thin">
        <color theme="0"/>
      </top>
      <bottom style="thin">
        <color theme="0"/>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bottom style="thin">
        <color indexed="64"/>
      </bottom>
      <diagonal/>
    </border>
    <border>
      <left style="thin">
        <color indexed="64"/>
      </left>
      <right/>
      <top style="thin">
        <color theme="0"/>
      </top>
      <bottom/>
      <diagonal/>
    </border>
    <border>
      <left/>
      <right/>
      <top style="thin">
        <color theme="0"/>
      </top>
      <bottom/>
      <diagonal/>
    </border>
    <border>
      <left/>
      <right style="thin">
        <color indexed="64"/>
      </right>
      <top style="thin">
        <color theme="0"/>
      </top>
      <bottom/>
      <diagonal/>
    </border>
    <border>
      <left/>
      <right style="thin">
        <color indexed="64"/>
      </right>
      <top style="medium">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thin">
        <color indexed="64"/>
      </right>
      <top/>
      <bottom style="thin">
        <color indexed="64"/>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dotted">
        <color theme="0" tint="-0.499984740745262"/>
      </right>
      <top style="thin">
        <color theme="0" tint="-0.499984740745262"/>
      </top>
      <bottom style="thin">
        <color theme="0" tint="-0.499984740745262"/>
      </bottom>
      <diagonal/>
    </border>
    <border>
      <left style="dotted">
        <color theme="0" tint="-0.499984740745262"/>
      </left>
      <right style="dotted">
        <color theme="0" tint="-0.499984740745262"/>
      </right>
      <top style="thin">
        <color theme="0" tint="-0.499984740745262"/>
      </top>
      <bottom style="thin">
        <color theme="0" tint="-0.499984740745262"/>
      </bottom>
      <diagonal/>
    </border>
    <border>
      <left style="dotted">
        <color theme="0" tint="-0.499984740745262"/>
      </left>
      <right style="thin">
        <color theme="0" tint="-0.499984740745262"/>
      </right>
      <top style="thin">
        <color theme="0" tint="-0.499984740745262"/>
      </top>
      <bottom style="thin">
        <color theme="0" tint="-0.499984740745262"/>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98">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0" fontId="3" fillId="0" borderId="1"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2" xfId="0" applyFont="1" applyBorder="1" applyAlignment="1">
      <alignment horizontal="center" vertical="center"/>
    </xf>
    <xf numFmtId="0" fontId="6" fillId="0" borderId="0" xfId="0" applyFont="1">
      <alignment vertical="center"/>
    </xf>
    <xf numFmtId="0" fontId="6" fillId="0" borderId="0" xfId="0" applyFont="1" applyAlignment="1">
      <alignment horizontal="center" vertical="center"/>
    </xf>
    <xf numFmtId="0" fontId="4" fillId="0" borderId="0" xfId="0" applyFont="1" applyAlignment="1">
      <alignment horizontal="center" vertical="center"/>
    </xf>
    <xf numFmtId="0" fontId="8" fillId="0" borderId="4" xfId="0" applyFont="1" applyBorder="1" applyAlignment="1">
      <alignment horizontal="left" vertical="center"/>
    </xf>
    <xf numFmtId="0" fontId="8" fillId="0" borderId="4" xfId="0" applyFont="1" applyBorder="1" applyAlignment="1">
      <alignment horizontal="center" vertical="center"/>
    </xf>
    <xf numFmtId="0" fontId="7" fillId="0" borderId="0" xfId="0" applyFont="1" applyAlignment="1">
      <alignment horizontal="right" vertical="center"/>
    </xf>
    <xf numFmtId="38" fontId="3" fillId="0" borderId="0" xfId="1" applyFont="1">
      <alignment vertical="center"/>
    </xf>
    <xf numFmtId="0" fontId="3" fillId="0" borderId="27" xfId="0" applyFont="1" applyBorder="1">
      <alignment vertical="center"/>
    </xf>
    <xf numFmtId="0" fontId="8" fillId="0" borderId="0" xfId="0" applyFont="1" applyAlignment="1">
      <alignment horizontal="center" vertical="center"/>
    </xf>
    <xf numFmtId="0" fontId="6" fillId="0" borderId="0" xfId="0" applyFont="1" applyAlignment="1">
      <alignment horizontal="left" vertical="center"/>
    </xf>
    <xf numFmtId="0" fontId="3" fillId="0" borderId="44" xfId="0" applyFont="1" applyBorder="1">
      <alignment vertical="center"/>
    </xf>
    <xf numFmtId="0" fontId="3" fillId="0" borderId="44" xfId="0" applyFont="1" applyBorder="1" applyAlignment="1">
      <alignment horizontal="center" vertical="center"/>
    </xf>
    <xf numFmtId="0" fontId="8" fillId="0" borderId="0" xfId="0" applyFont="1" applyAlignment="1">
      <alignment horizontal="left" vertical="center"/>
    </xf>
    <xf numFmtId="0" fontId="4" fillId="0" borderId="20" xfId="0" applyFont="1" applyBorder="1">
      <alignment vertical="center"/>
    </xf>
    <xf numFmtId="0" fontId="4" fillId="0" borderId="20" xfId="0" applyFont="1" applyBorder="1" applyAlignment="1">
      <alignment horizontal="center" vertical="center"/>
    </xf>
    <xf numFmtId="0" fontId="4" fillId="0" borderId="5" xfId="0" applyFont="1" applyBorder="1">
      <alignment vertical="center"/>
    </xf>
    <xf numFmtId="0" fontId="4" fillId="0" borderId="5" xfId="0" applyFont="1" applyBorder="1" applyAlignment="1">
      <alignment horizontal="center" vertical="center"/>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0" fontId="15" fillId="3" borderId="0" xfId="0" applyFont="1" applyFill="1" applyAlignment="1">
      <alignment horizontal="center" vertical="center" wrapText="1" readingOrder="1"/>
    </xf>
    <xf numFmtId="0" fontId="14" fillId="3" borderId="37" xfId="0" applyFont="1" applyFill="1" applyBorder="1" applyAlignment="1">
      <alignment horizontal="center" vertical="center" shrinkToFit="1" readingOrder="1"/>
    </xf>
    <xf numFmtId="0" fontId="4" fillId="3" borderId="0" xfId="0" applyFont="1" applyFill="1">
      <alignment vertical="center"/>
    </xf>
    <xf numFmtId="0" fontId="14" fillId="3" borderId="37" xfId="0" applyFont="1" applyFill="1" applyBorder="1" applyAlignment="1">
      <alignment horizontal="center" vertical="center" wrapText="1" readingOrder="1"/>
    </xf>
    <xf numFmtId="0" fontId="3" fillId="0" borderId="20" xfId="0" applyFont="1" applyBorder="1">
      <alignment vertical="center"/>
    </xf>
    <xf numFmtId="0" fontId="3" fillId="0" borderId="20" xfId="0" applyFont="1" applyBorder="1" applyAlignment="1">
      <alignment horizontal="center" vertical="center"/>
    </xf>
    <xf numFmtId="14" fontId="4" fillId="0" borderId="20" xfId="0" applyNumberFormat="1" applyFont="1" applyBorder="1" applyAlignment="1">
      <alignment horizontal="right" vertical="center"/>
    </xf>
    <xf numFmtId="0" fontId="14" fillId="3" borderId="34" xfId="0" applyFont="1" applyFill="1" applyBorder="1" applyAlignment="1">
      <alignment horizontal="center" vertical="center" shrinkToFit="1" readingOrder="1"/>
    </xf>
    <xf numFmtId="0" fontId="16" fillId="0" borderId="0" xfId="0" applyFont="1">
      <alignment vertical="center"/>
    </xf>
    <xf numFmtId="0" fontId="17" fillId="0" borderId="0" xfId="0" applyFont="1">
      <alignment vertical="center"/>
    </xf>
    <xf numFmtId="178" fontId="4" fillId="0" borderId="85" xfId="0" applyNumberFormat="1" applyFont="1" applyBorder="1" applyAlignment="1">
      <alignment vertical="top" shrinkToFit="1"/>
    </xf>
    <xf numFmtId="178" fontId="3" fillId="4" borderId="59" xfId="1" applyNumberFormat="1" applyFont="1" applyFill="1" applyBorder="1" applyAlignment="1">
      <alignment vertical="center" shrinkToFit="1"/>
    </xf>
    <xf numFmtId="0" fontId="4" fillId="4" borderId="59" xfId="0" applyFont="1" applyFill="1" applyBorder="1" applyAlignment="1">
      <alignment vertical="center" shrinkToFit="1"/>
    </xf>
    <xf numFmtId="0" fontId="4" fillId="4" borderId="86" xfId="0" applyFont="1" applyFill="1" applyBorder="1">
      <alignment vertical="center"/>
    </xf>
    <xf numFmtId="0" fontId="4" fillId="4" borderId="87" xfId="0" applyFont="1" applyFill="1" applyBorder="1">
      <alignment vertical="center"/>
    </xf>
    <xf numFmtId="38" fontId="3" fillId="4" borderId="90" xfId="1" applyFont="1" applyFill="1" applyBorder="1" applyAlignment="1">
      <alignment vertical="center" textRotation="255"/>
    </xf>
    <xf numFmtId="38" fontId="3" fillId="4" borderId="91" xfId="1" applyFont="1" applyFill="1" applyBorder="1" applyAlignment="1">
      <alignment vertical="center" textRotation="255"/>
    </xf>
    <xf numFmtId="38" fontId="3" fillId="4" borderId="92" xfId="1" applyFont="1" applyFill="1" applyBorder="1" applyAlignment="1">
      <alignment vertical="center" textRotation="255"/>
    </xf>
    <xf numFmtId="178" fontId="3" fillId="4" borderId="90" xfId="1" applyNumberFormat="1" applyFont="1" applyFill="1" applyBorder="1" applyAlignment="1">
      <alignment vertical="center" shrinkToFit="1"/>
    </xf>
    <xf numFmtId="178" fontId="3" fillId="4" borderId="91" xfId="1" applyNumberFormat="1" applyFont="1" applyFill="1" applyBorder="1" applyAlignment="1">
      <alignment vertical="center" shrinkToFit="1"/>
    </xf>
    <xf numFmtId="178" fontId="3" fillId="4" borderId="92" xfId="1" applyNumberFormat="1" applyFont="1" applyFill="1" applyBorder="1" applyAlignment="1">
      <alignment vertical="center" shrinkToFit="1"/>
    </xf>
    <xf numFmtId="0" fontId="14" fillId="3" borderId="34" xfId="0" applyFont="1" applyFill="1" applyBorder="1" applyAlignment="1">
      <alignment horizontal="center" vertical="center" wrapText="1" readingOrder="1"/>
    </xf>
    <xf numFmtId="0" fontId="20" fillId="0" borderId="0" xfId="0" applyFont="1">
      <alignment vertical="center"/>
    </xf>
    <xf numFmtId="0" fontId="7" fillId="0" borderId="0" xfId="0" applyFont="1">
      <alignment vertical="center"/>
    </xf>
    <xf numFmtId="176" fontId="9" fillId="0" borderId="0" xfId="0" applyNumberFormat="1" applyFont="1" applyAlignment="1">
      <alignment vertical="top" wrapText="1" shrinkToFit="1"/>
    </xf>
    <xf numFmtId="0" fontId="6" fillId="0" borderId="0" xfId="0" applyFont="1" applyAlignment="1">
      <alignment horizontal="center" vertical="center" shrinkToFit="1"/>
    </xf>
    <xf numFmtId="178" fontId="4" fillId="0" borderId="92" xfId="0" applyNumberFormat="1" applyFont="1" applyBorder="1" applyAlignment="1">
      <alignment vertical="top" shrinkToFit="1"/>
    </xf>
    <xf numFmtId="178" fontId="4" fillId="0" borderId="59" xfId="0" applyNumberFormat="1" applyFont="1" applyBorder="1" applyAlignment="1">
      <alignment vertical="top" shrinkToFit="1"/>
    </xf>
    <xf numFmtId="177" fontId="9" fillId="0" borderId="8" xfId="0" applyNumberFormat="1" applyFont="1" applyBorder="1" applyAlignment="1">
      <alignment horizontal="right" vertical="top"/>
    </xf>
    <xf numFmtId="177" fontId="9" fillId="0" borderId="0" xfId="0" applyNumberFormat="1" applyFont="1" applyAlignment="1">
      <alignment horizontal="right" vertical="top"/>
    </xf>
    <xf numFmtId="177" fontId="9" fillId="0" borderId="11" xfId="0" applyNumberFormat="1" applyFont="1" applyBorder="1" applyAlignment="1">
      <alignment horizontal="right" vertical="top"/>
    </xf>
    <xf numFmtId="176" fontId="9" fillId="0" borderId="22" xfId="0" applyNumberFormat="1" applyFont="1" applyBorder="1" applyAlignment="1">
      <alignment horizontal="center" vertical="top"/>
    </xf>
    <xf numFmtId="176" fontId="9" fillId="0" borderId="20" xfId="0" applyNumberFormat="1" applyFont="1" applyBorder="1" applyAlignment="1">
      <alignment horizontal="center" vertical="top"/>
    </xf>
    <xf numFmtId="176" fontId="9" fillId="0" borderId="21" xfId="0" applyNumberFormat="1" applyFont="1" applyBorder="1" applyAlignment="1">
      <alignment horizontal="center" vertical="top"/>
    </xf>
    <xf numFmtId="0" fontId="4" fillId="0" borderId="75" xfId="0" applyFont="1" applyBorder="1" applyAlignment="1">
      <alignment horizontal="center" vertical="top"/>
    </xf>
    <xf numFmtId="0" fontId="4" fillId="0" borderId="76" xfId="0" applyFont="1" applyBorder="1" applyAlignment="1">
      <alignment horizontal="center" vertical="top"/>
    </xf>
    <xf numFmtId="0" fontId="4" fillId="0" borderId="74" xfId="0" applyFont="1" applyBorder="1" applyAlignment="1">
      <alignment horizontal="center" vertical="top"/>
    </xf>
    <xf numFmtId="176" fontId="9" fillId="0" borderId="15" xfId="0" applyNumberFormat="1" applyFont="1" applyBorder="1" applyAlignment="1">
      <alignment vertical="top" wrapText="1" shrinkToFit="1"/>
    </xf>
    <xf numFmtId="176" fontId="9" fillId="0" borderId="5" xfId="0" applyNumberFormat="1" applyFont="1" applyBorder="1" applyAlignment="1">
      <alignment vertical="top" wrapText="1" shrinkToFit="1"/>
    </xf>
    <xf numFmtId="176" fontId="9" fillId="0" borderId="96" xfId="0" applyNumberFormat="1" applyFont="1" applyBorder="1" applyAlignment="1">
      <alignment vertical="top" wrapText="1" shrinkToFit="1"/>
    </xf>
    <xf numFmtId="176" fontId="9" fillId="0" borderId="10" xfId="0" applyNumberFormat="1" applyFont="1" applyBorder="1" applyAlignment="1">
      <alignment vertical="top" wrapText="1" shrinkToFit="1"/>
    </xf>
    <xf numFmtId="176" fontId="9" fillId="0" borderId="0" xfId="0" applyNumberFormat="1" applyFont="1" applyAlignment="1">
      <alignment vertical="top" wrapText="1" shrinkToFit="1"/>
    </xf>
    <xf numFmtId="176" fontId="9" fillId="0" borderId="56" xfId="0" applyNumberFormat="1" applyFont="1" applyBorder="1" applyAlignment="1">
      <alignment vertical="top" wrapText="1" shrinkToFit="1"/>
    </xf>
    <xf numFmtId="176" fontId="9" fillId="0" borderId="19" xfId="0" applyNumberFormat="1" applyFont="1" applyBorder="1" applyAlignment="1">
      <alignment vertical="top" wrapText="1" shrinkToFit="1"/>
    </xf>
    <xf numFmtId="176" fontId="9" fillId="0" borderId="20" xfId="0" applyNumberFormat="1" applyFont="1" applyBorder="1" applyAlignment="1">
      <alignment vertical="top" wrapText="1" shrinkToFit="1"/>
    </xf>
    <xf numFmtId="176" fontId="9" fillId="0" borderId="60" xfId="0" applyNumberFormat="1" applyFont="1" applyBorder="1" applyAlignment="1">
      <alignment vertical="top" wrapText="1" shrinkToFit="1"/>
    </xf>
    <xf numFmtId="178" fontId="4" fillId="0" borderId="90" xfId="0" applyNumberFormat="1" applyFont="1" applyBorder="1" applyAlignment="1">
      <alignment vertical="top" shrinkToFit="1"/>
    </xf>
    <xf numFmtId="178" fontId="4" fillId="0" borderId="91" xfId="0" applyNumberFormat="1" applyFont="1" applyBorder="1" applyAlignment="1">
      <alignment vertical="top" shrinkToFit="1"/>
    </xf>
    <xf numFmtId="0" fontId="4" fillId="0" borderId="84" xfId="0" applyFont="1" applyBorder="1" applyAlignment="1">
      <alignment horizontal="center" vertical="top"/>
    </xf>
    <xf numFmtId="0" fontId="4" fillId="0" borderId="78" xfId="0" applyFont="1" applyBorder="1" applyAlignment="1">
      <alignment horizontal="center" vertical="top"/>
    </xf>
    <xf numFmtId="0" fontId="4" fillId="0" borderId="80" xfId="0" applyFont="1" applyBorder="1" applyAlignment="1">
      <alignment horizontal="center" vertical="top"/>
    </xf>
    <xf numFmtId="176" fontId="9" fillId="0" borderId="12" xfId="0" applyNumberFormat="1" applyFont="1" applyBorder="1" applyAlignment="1">
      <alignment vertical="top" wrapText="1" shrinkToFit="1"/>
    </xf>
    <xf numFmtId="176" fontId="9" fillId="0" borderId="4" xfId="0" applyNumberFormat="1" applyFont="1" applyBorder="1" applyAlignment="1">
      <alignment vertical="top" wrapText="1" shrinkToFit="1"/>
    </xf>
    <xf numFmtId="176" fontId="9" fillId="0" borderId="55" xfId="0" applyNumberFormat="1" applyFont="1" applyBorder="1" applyAlignment="1">
      <alignment vertical="top" wrapText="1" shrinkToFit="1"/>
    </xf>
    <xf numFmtId="0" fontId="13" fillId="5" borderId="36" xfId="0" applyFont="1" applyFill="1" applyBorder="1" applyAlignment="1">
      <alignment horizontal="center" vertical="center" shrinkToFit="1" readingOrder="1"/>
    </xf>
    <xf numFmtId="0" fontId="13" fillId="5" borderId="37" xfId="0" applyFont="1" applyFill="1" applyBorder="1" applyAlignment="1">
      <alignment horizontal="center" vertical="center" shrinkToFit="1" readingOrder="1"/>
    </xf>
    <xf numFmtId="0" fontId="14" fillId="6" borderId="36" xfId="0" applyFont="1" applyFill="1" applyBorder="1" applyAlignment="1">
      <alignment horizontal="center" vertical="center" shrinkToFit="1" readingOrder="1"/>
    </xf>
    <xf numFmtId="0" fontId="14" fillId="6" borderId="37" xfId="0" applyFont="1" applyFill="1" applyBorder="1" applyAlignment="1">
      <alignment horizontal="center" vertical="center" shrinkToFit="1" readingOrder="1"/>
    </xf>
    <xf numFmtId="0" fontId="14" fillId="6" borderId="38" xfId="0" applyFont="1" applyFill="1" applyBorder="1" applyAlignment="1">
      <alignment horizontal="center" vertical="center" shrinkToFit="1" readingOrder="1"/>
    </xf>
    <xf numFmtId="0" fontId="5" fillId="2" borderId="23"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54"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0" xfId="0" applyFont="1" applyFill="1" applyAlignment="1">
      <alignment horizontal="center" vertical="center"/>
    </xf>
    <xf numFmtId="0" fontId="5" fillId="2" borderId="56"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5" xfId="0" applyFont="1" applyFill="1" applyBorder="1" applyAlignment="1">
      <alignment horizontal="center" vertical="center"/>
    </xf>
    <xf numFmtId="176" fontId="9" fillId="0" borderId="23" xfId="0" applyNumberFormat="1" applyFont="1" applyBorder="1" applyAlignment="1">
      <alignment vertical="top" wrapText="1" shrinkToFit="1"/>
    </xf>
    <xf numFmtId="176" fontId="9" fillId="0" borderId="7" xfId="0" applyNumberFormat="1" applyFont="1" applyBorder="1" applyAlignment="1">
      <alignment vertical="top" wrapText="1" shrinkToFit="1"/>
    </xf>
    <xf numFmtId="176" fontId="9" fillId="0" borderId="54" xfId="0" applyNumberFormat="1" applyFont="1" applyBorder="1" applyAlignment="1">
      <alignment vertical="top" wrapText="1" shrinkToFit="1"/>
    </xf>
    <xf numFmtId="0" fontId="19" fillId="5" borderId="36" xfId="0" applyFont="1" applyFill="1" applyBorder="1" applyAlignment="1">
      <alignment horizontal="center" vertical="center" shrinkToFit="1" readingOrder="1"/>
    </xf>
    <xf numFmtId="0" fontId="19" fillId="5" borderId="37" xfId="0" applyFont="1" applyFill="1" applyBorder="1" applyAlignment="1">
      <alignment horizontal="center" vertical="center" shrinkToFit="1" readingOrder="1"/>
    </xf>
    <xf numFmtId="0" fontId="19" fillId="5" borderId="38" xfId="0" applyFont="1" applyFill="1" applyBorder="1" applyAlignment="1">
      <alignment horizontal="center" vertical="center" shrinkToFit="1" readingOrder="1"/>
    </xf>
    <xf numFmtId="0" fontId="14" fillId="6" borderId="36" xfId="0" applyFont="1" applyFill="1" applyBorder="1" applyAlignment="1">
      <alignment horizontal="center" vertical="center" wrapText="1" readingOrder="1"/>
    </xf>
    <xf numFmtId="0" fontId="0" fillId="6" borderId="37" xfId="0" applyFill="1" applyBorder="1" applyAlignment="1">
      <alignment horizontal="center" vertical="center" wrapText="1" readingOrder="1"/>
    </xf>
    <xf numFmtId="0" fontId="3" fillId="2" borderId="17" xfId="0" applyFont="1" applyFill="1" applyBorder="1" applyAlignment="1">
      <alignment horizontal="center" vertical="center"/>
    </xf>
    <xf numFmtId="0" fontId="3" fillId="2" borderId="96"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60" xfId="0" applyFont="1" applyFill="1" applyBorder="1" applyAlignment="1">
      <alignment horizontal="center" vertical="center"/>
    </xf>
    <xf numFmtId="176" fontId="9" fillId="0" borderId="25" xfId="0" applyNumberFormat="1" applyFont="1" applyBorder="1" applyAlignment="1">
      <alignment horizontal="left" vertical="top"/>
    </xf>
    <xf numFmtId="176" fontId="9" fillId="0" borderId="9" xfId="0" applyNumberFormat="1" applyFont="1" applyBorder="1" applyAlignment="1">
      <alignment horizontal="left" vertical="top"/>
    </xf>
    <xf numFmtId="0" fontId="9" fillId="0" borderId="94" xfId="0" applyFont="1" applyBorder="1" applyAlignment="1">
      <alignment horizontal="center" vertical="top" wrapText="1"/>
    </xf>
    <xf numFmtId="0" fontId="9" fillId="0" borderId="94" xfId="0" applyFont="1" applyBorder="1" applyAlignment="1">
      <alignment horizontal="center" vertical="top"/>
    </xf>
    <xf numFmtId="0" fontId="9" fillId="0" borderId="26" xfId="0" applyFont="1" applyBorder="1" applyAlignment="1">
      <alignment horizontal="center" vertical="top"/>
    </xf>
    <xf numFmtId="0" fontId="9" fillId="0" borderId="10" xfId="0" applyFont="1" applyBorder="1" applyAlignment="1">
      <alignment horizontal="center" vertical="top" wrapText="1"/>
    </xf>
    <xf numFmtId="0" fontId="9" fillId="0" borderId="0" xfId="0" applyFont="1" applyAlignment="1">
      <alignment horizontal="center" vertical="top" wrapText="1"/>
    </xf>
    <xf numFmtId="0" fontId="9" fillId="0" borderId="11" xfId="0" applyFont="1" applyBorder="1" applyAlignment="1">
      <alignment horizontal="center" vertical="top"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9" fillId="0" borderId="21" xfId="0" applyFont="1" applyBorder="1" applyAlignment="1">
      <alignment horizontal="center" vertical="top" wrapText="1"/>
    </xf>
    <xf numFmtId="0" fontId="9" fillId="0" borderId="10" xfId="0" applyFont="1" applyBorder="1" applyAlignment="1">
      <alignment horizontal="center" vertical="top"/>
    </xf>
    <xf numFmtId="0" fontId="9" fillId="0" borderId="0" xfId="0" applyFont="1" applyAlignment="1">
      <alignment horizontal="center" vertical="top"/>
    </xf>
    <xf numFmtId="0" fontId="9" fillId="0" borderId="11" xfId="0" applyFont="1" applyBorder="1" applyAlignment="1">
      <alignment horizontal="center" vertical="top"/>
    </xf>
    <xf numFmtId="0" fontId="9" fillId="0" borderId="19" xfId="0" applyFont="1" applyBorder="1" applyAlignment="1">
      <alignment horizontal="center" vertical="top"/>
    </xf>
    <xf numFmtId="0" fontId="9" fillId="0" borderId="20" xfId="0" applyFont="1" applyBorder="1" applyAlignment="1">
      <alignment horizontal="center" vertical="top"/>
    </xf>
    <xf numFmtId="0" fontId="9" fillId="0" borderId="21" xfId="0" applyFont="1" applyBorder="1" applyAlignment="1">
      <alignment horizontal="center" vertical="top"/>
    </xf>
    <xf numFmtId="0" fontId="9" fillId="0" borderId="94" xfId="0" applyFont="1" applyBorder="1" applyAlignment="1">
      <alignment horizontal="center" vertical="top" shrinkToFit="1"/>
    </xf>
    <xf numFmtId="0" fontId="9" fillId="0" borderId="26" xfId="0" applyFont="1" applyBorder="1" applyAlignment="1">
      <alignment horizontal="center" vertical="top" shrinkToFit="1"/>
    </xf>
    <xf numFmtId="0" fontId="6" fillId="0" borderId="10" xfId="0" applyFont="1" applyBorder="1" applyAlignment="1">
      <alignment horizontal="left" vertical="top" wrapText="1"/>
    </xf>
    <xf numFmtId="0" fontId="6" fillId="0" borderId="0" xfId="0" applyFont="1" applyAlignment="1">
      <alignment horizontal="left" vertical="top" wrapText="1"/>
    </xf>
    <xf numFmtId="0" fontId="6" fillId="0" borderId="11" xfId="0" applyFont="1" applyBorder="1" applyAlignment="1">
      <alignment horizontal="left" vertical="top" wrapText="1"/>
    </xf>
    <xf numFmtId="0" fontId="6" fillId="0" borderId="19"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3" fillId="2" borderId="93" xfId="0" applyFont="1" applyFill="1" applyBorder="1" applyAlignment="1">
      <alignment horizontal="center" vertical="center"/>
    </xf>
    <xf numFmtId="0" fontId="3" fillId="2" borderId="94"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26" xfId="0" applyFont="1" applyFill="1" applyBorder="1" applyAlignment="1">
      <alignment horizontal="center" vertical="center"/>
    </xf>
    <xf numFmtId="0" fontId="13" fillId="5" borderId="58" xfId="0" applyFont="1" applyFill="1" applyBorder="1" applyAlignment="1">
      <alignment horizontal="center" vertical="center" shrinkToFit="1" readingOrder="1"/>
    </xf>
    <xf numFmtId="0" fontId="13" fillId="5" borderId="38" xfId="0" applyFont="1" applyFill="1" applyBorder="1" applyAlignment="1">
      <alignment horizontal="center" vertical="center" shrinkToFit="1" readingOrder="1"/>
    </xf>
    <xf numFmtId="0" fontId="13" fillId="5" borderId="36" xfId="0" applyFont="1" applyFill="1" applyBorder="1" applyAlignment="1">
      <alignment horizontal="center" vertical="center" wrapText="1" readingOrder="1"/>
    </xf>
    <xf numFmtId="0" fontId="13" fillId="5" borderId="37" xfId="0" applyFont="1" applyFill="1" applyBorder="1" applyAlignment="1">
      <alignment horizontal="center" vertical="center" wrapText="1" readingOrder="1"/>
    </xf>
    <xf numFmtId="0" fontId="13" fillId="5" borderId="58" xfId="0" applyFont="1" applyFill="1" applyBorder="1" applyAlignment="1">
      <alignment horizontal="center" vertical="center" wrapText="1" readingOrder="1"/>
    </xf>
    <xf numFmtId="0" fontId="19" fillId="5" borderId="57" xfId="0" applyFont="1" applyFill="1" applyBorder="1" applyAlignment="1">
      <alignment horizontal="center" vertical="center" shrinkToFit="1" readingOrder="1"/>
    </xf>
    <xf numFmtId="0" fontId="15" fillId="5" borderId="0" xfId="0" applyFont="1" applyFill="1" applyAlignment="1">
      <alignment horizontal="center" vertical="center" wrapText="1" readingOrder="1"/>
    </xf>
    <xf numFmtId="0" fontId="15" fillId="5" borderId="48" xfId="0" applyFont="1" applyFill="1" applyBorder="1" applyAlignment="1">
      <alignment horizontal="center" vertical="center" wrapText="1" readingOrder="1"/>
    </xf>
    <xf numFmtId="0" fontId="15" fillId="5" borderId="40" xfId="0" applyFont="1" applyFill="1" applyBorder="1" applyAlignment="1">
      <alignment horizontal="center" vertical="center" wrapText="1" readingOrder="1"/>
    </xf>
    <xf numFmtId="0" fontId="15" fillId="5" borderId="41" xfId="0" applyFont="1" applyFill="1" applyBorder="1" applyAlignment="1">
      <alignment horizontal="center" vertical="center" wrapText="1" readingOrder="1"/>
    </xf>
    <xf numFmtId="0" fontId="13" fillId="5" borderId="39" xfId="0" applyFont="1" applyFill="1" applyBorder="1" applyAlignment="1">
      <alignment horizontal="center" vertical="center" wrapText="1" readingOrder="1"/>
    </xf>
    <xf numFmtId="0" fontId="13" fillId="5" borderId="40" xfId="0" applyFont="1" applyFill="1" applyBorder="1" applyAlignment="1">
      <alignment horizontal="center" vertical="center" wrapText="1" readingOrder="1"/>
    </xf>
    <xf numFmtId="0" fontId="13" fillId="5" borderId="41" xfId="0" applyFont="1" applyFill="1" applyBorder="1" applyAlignment="1">
      <alignment horizontal="center" vertical="center" wrapText="1" readingOrder="1"/>
    </xf>
    <xf numFmtId="0" fontId="15" fillId="5" borderId="34" xfId="0" applyFont="1" applyFill="1" applyBorder="1" applyAlignment="1">
      <alignment horizontal="center" vertical="center" wrapText="1" readingOrder="1"/>
    </xf>
    <xf numFmtId="0" fontId="15" fillId="5" borderId="35" xfId="0" applyFont="1" applyFill="1" applyBorder="1" applyAlignment="1">
      <alignment horizontal="center" vertical="center" wrapText="1" readingOrder="1"/>
    </xf>
    <xf numFmtId="0" fontId="19" fillId="5" borderId="36" xfId="0" applyFont="1" applyFill="1" applyBorder="1" applyAlignment="1">
      <alignment horizontal="center" vertical="center" wrapText="1" readingOrder="1"/>
    </xf>
    <xf numFmtId="0" fontId="19" fillId="5" borderId="37" xfId="0" applyFont="1" applyFill="1" applyBorder="1" applyAlignment="1">
      <alignment horizontal="center" vertical="center" wrapText="1" readingOrder="1"/>
    </xf>
    <xf numFmtId="0" fontId="19" fillId="5" borderId="38" xfId="0" applyFont="1" applyFill="1" applyBorder="1" applyAlignment="1">
      <alignment horizontal="center" vertical="center" wrapText="1" readingOrder="1"/>
    </xf>
    <xf numFmtId="0" fontId="13" fillId="5" borderId="38" xfId="0" applyFont="1" applyFill="1" applyBorder="1" applyAlignment="1">
      <alignment horizontal="center" vertical="center" wrapText="1" readingOrder="1"/>
    </xf>
    <xf numFmtId="0" fontId="14" fillId="6" borderId="37" xfId="0" applyFont="1" applyFill="1" applyBorder="1" applyAlignment="1">
      <alignment horizontal="center" vertical="center" wrapText="1" readingOrder="1"/>
    </xf>
    <xf numFmtId="0" fontId="14" fillId="6" borderId="38" xfId="0" applyFont="1" applyFill="1" applyBorder="1" applyAlignment="1">
      <alignment horizontal="center" vertical="center" wrapText="1" readingOrder="1"/>
    </xf>
    <xf numFmtId="0" fontId="4" fillId="0" borderId="65" xfId="0" applyFont="1" applyBorder="1" applyAlignment="1">
      <alignment horizontal="center" vertical="top"/>
    </xf>
    <xf numFmtId="0" fontId="4" fillId="0" borderId="66" xfId="0" applyFont="1" applyBorder="1" applyAlignment="1">
      <alignment horizontal="center" vertical="top"/>
    </xf>
    <xf numFmtId="0" fontId="3" fillId="2" borderId="16"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1" xfId="0" applyFont="1" applyFill="1" applyBorder="1" applyAlignment="1">
      <alignment horizontal="center" vertical="center"/>
    </xf>
    <xf numFmtId="0" fontId="9" fillId="0" borderId="26" xfId="0" applyFont="1" applyBorder="1" applyAlignment="1">
      <alignment horizontal="center" vertical="top" wrapText="1"/>
    </xf>
    <xf numFmtId="0" fontId="3" fillId="2" borderId="29" xfId="0" applyFont="1" applyFill="1" applyBorder="1" applyAlignment="1">
      <alignment horizontal="center" vertical="center"/>
    </xf>
    <xf numFmtId="0" fontId="3" fillId="2" borderId="30" xfId="0" applyFont="1" applyFill="1" applyBorder="1" applyAlignment="1">
      <alignment horizontal="center" vertical="center"/>
    </xf>
    <xf numFmtId="0" fontId="9" fillId="0" borderId="15" xfId="0" applyFont="1" applyBorder="1" applyAlignment="1">
      <alignment horizontal="center" vertical="top" wrapText="1"/>
    </xf>
    <xf numFmtId="0" fontId="9" fillId="0" borderId="5" xfId="0" applyFont="1" applyBorder="1" applyAlignment="1">
      <alignment horizontal="center" vertical="top" wrapText="1"/>
    </xf>
    <xf numFmtId="0" fontId="9" fillId="0" borderId="16" xfId="0" applyFont="1" applyBorder="1" applyAlignment="1">
      <alignment horizontal="center" vertical="top" wrapText="1"/>
    </xf>
    <xf numFmtId="0" fontId="9" fillId="0" borderId="12" xfId="0" applyFont="1" applyBorder="1" applyAlignment="1">
      <alignment horizontal="center" vertical="top" wrapText="1"/>
    </xf>
    <xf numFmtId="0" fontId="9" fillId="0" borderId="4" xfId="0" applyFont="1" applyBorder="1" applyAlignment="1">
      <alignment horizontal="center" vertical="top" wrapText="1"/>
    </xf>
    <xf numFmtId="0" fontId="9" fillId="0" borderId="13" xfId="0" applyFont="1" applyBorder="1" applyAlignment="1">
      <alignment horizontal="center" vertical="top" wrapText="1"/>
    </xf>
    <xf numFmtId="0" fontId="9" fillId="0" borderId="30" xfId="0" applyFont="1" applyBorder="1" applyAlignment="1">
      <alignment horizontal="center" vertical="top"/>
    </xf>
    <xf numFmtId="0" fontId="9" fillId="0" borderId="30" xfId="0" applyFont="1" applyBorder="1" applyAlignment="1">
      <alignment horizontal="center" vertical="top" shrinkToFit="1"/>
    </xf>
    <xf numFmtId="0" fontId="4" fillId="0" borderId="81" xfId="0" applyFont="1" applyBorder="1" applyAlignment="1">
      <alignment horizontal="center" vertical="top"/>
    </xf>
    <xf numFmtId="0" fontId="4" fillId="0" borderId="82" xfId="0" applyFont="1" applyBorder="1" applyAlignment="1">
      <alignment horizontal="center" vertical="top"/>
    </xf>
    <xf numFmtId="0" fontId="4" fillId="0" borderId="83" xfId="0" applyFont="1" applyBorder="1" applyAlignment="1">
      <alignment horizontal="center" vertical="top"/>
    </xf>
    <xf numFmtId="176" fontId="9" fillId="0" borderId="18" xfId="0" applyNumberFormat="1" applyFont="1" applyBorder="1" applyAlignment="1">
      <alignment horizontal="left" vertical="top"/>
    </xf>
    <xf numFmtId="176" fontId="9" fillId="0" borderId="14" xfId="0" applyNumberFormat="1" applyFont="1" applyBorder="1" applyAlignment="1">
      <alignment horizontal="left" vertical="top"/>
    </xf>
    <xf numFmtId="176" fontId="9" fillId="0" borderId="6" xfId="0" applyNumberFormat="1" applyFont="1" applyBorder="1" applyAlignment="1">
      <alignment horizontal="center" vertical="top"/>
    </xf>
    <xf numFmtId="176" fontId="9" fillId="0" borderId="4" xfId="0" applyNumberFormat="1" applyFont="1" applyBorder="1" applyAlignment="1">
      <alignment horizontal="center" vertical="top"/>
    </xf>
    <xf numFmtId="176" fontId="9" fillId="0" borderId="13" xfId="0" applyNumberFormat="1" applyFont="1" applyBorder="1" applyAlignment="1">
      <alignment horizontal="center" vertical="top"/>
    </xf>
    <xf numFmtId="0" fontId="6" fillId="0" borderId="15" xfId="0" applyFont="1" applyBorder="1" applyAlignment="1">
      <alignment horizontal="left" vertical="top" wrapText="1"/>
    </xf>
    <xf numFmtId="0" fontId="6" fillId="0" borderId="5" xfId="0" applyFont="1" applyBorder="1" applyAlignment="1">
      <alignment horizontal="left" vertical="top" wrapText="1"/>
    </xf>
    <xf numFmtId="0" fontId="6" fillId="0" borderId="16" xfId="0" applyFont="1" applyBorder="1" applyAlignment="1">
      <alignment horizontal="left" vertical="top" wrapText="1"/>
    </xf>
    <xf numFmtId="0" fontId="4" fillId="0" borderId="79" xfId="0" applyFont="1" applyBorder="1" applyAlignment="1">
      <alignment horizontal="center" vertical="top"/>
    </xf>
    <xf numFmtId="0" fontId="4" fillId="0" borderId="77" xfId="0" applyFont="1" applyBorder="1" applyAlignment="1">
      <alignment horizontal="center" vertical="top"/>
    </xf>
    <xf numFmtId="0" fontId="9" fillId="0" borderId="23" xfId="0" applyFont="1" applyBorder="1" applyAlignment="1">
      <alignment horizontal="center" vertical="top" wrapText="1"/>
    </xf>
    <xf numFmtId="0" fontId="9" fillId="0" borderId="7" xfId="0" applyFont="1" applyBorder="1" applyAlignment="1">
      <alignment horizontal="center" vertical="top" wrapText="1"/>
    </xf>
    <xf numFmtId="0" fontId="9" fillId="0" borderId="24" xfId="0" applyFont="1" applyBorder="1" applyAlignment="1">
      <alignment horizontal="center" vertical="top" wrapText="1"/>
    </xf>
    <xf numFmtId="176" fontId="9" fillId="0" borderId="8" xfId="0" applyNumberFormat="1" applyFont="1" applyBorder="1" applyAlignment="1">
      <alignment horizontal="left" vertical="top"/>
    </xf>
    <xf numFmtId="176" fontId="9" fillId="0" borderId="0" xfId="0" applyNumberFormat="1" applyFont="1" applyAlignment="1">
      <alignment horizontal="left" vertical="top"/>
    </xf>
    <xf numFmtId="176" fontId="9" fillId="0" borderId="11" xfId="0" applyNumberFormat="1" applyFont="1" applyBorder="1" applyAlignment="1">
      <alignment horizontal="left" vertical="top"/>
    </xf>
    <xf numFmtId="176" fontId="9" fillId="0" borderId="8" xfId="0" applyNumberFormat="1" applyFont="1" applyBorder="1" applyAlignment="1">
      <alignment horizontal="center" vertical="top"/>
    </xf>
    <xf numFmtId="176" fontId="9" fillId="0" borderId="0" xfId="0" applyNumberFormat="1" applyFont="1" applyAlignment="1">
      <alignment horizontal="center" vertical="top"/>
    </xf>
    <xf numFmtId="176" fontId="9" fillId="0" borderId="11" xfId="0" applyNumberFormat="1" applyFont="1" applyBorder="1" applyAlignment="1">
      <alignment horizontal="center" vertical="top"/>
    </xf>
    <xf numFmtId="0" fontId="9" fillId="0" borderId="28" xfId="0" applyFont="1" applyBorder="1" applyAlignment="1">
      <alignment horizontal="center" vertical="top" wrapText="1"/>
    </xf>
    <xf numFmtId="0" fontId="9" fillId="0" borderId="28" xfId="0" applyFont="1" applyBorder="1" applyAlignment="1">
      <alignment horizontal="center" vertical="top"/>
    </xf>
    <xf numFmtId="0" fontId="9" fillId="0" borderId="14" xfId="0" applyFont="1" applyBorder="1" applyAlignment="1">
      <alignment horizontal="center" vertical="top"/>
    </xf>
    <xf numFmtId="0" fontId="9" fillId="0" borderId="28" xfId="0" applyFont="1" applyBorder="1" applyAlignment="1">
      <alignment horizontal="center" vertical="top" shrinkToFit="1"/>
    </xf>
    <xf numFmtId="0" fontId="9" fillId="0" borderId="14" xfId="0" applyFont="1" applyBorder="1" applyAlignment="1">
      <alignment horizontal="center" vertical="top" shrinkToFit="1"/>
    </xf>
    <xf numFmtId="0" fontId="9" fillId="0" borderId="23" xfId="0" applyFont="1" applyBorder="1" applyAlignment="1">
      <alignment horizontal="center" vertical="top"/>
    </xf>
    <xf numFmtId="0" fontId="9" fillId="0" borderId="7" xfId="0" applyFont="1" applyBorder="1" applyAlignment="1">
      <alignment horizontal="center" vertical="top"/>
    </xf>
    <xf numFmtId="0" fontId="9" fillId="0" borderId="24" xfId="0" applyFont="1" applyBorder="1" applyAlignment="1">
      <alignment horizontal="center" vertical="top"/>
    </xf>
    <xf numFmtId="176" fontId="9" fillId="0" borderId="53" xfId="0" applyNumberFormat="1" applyFont="1" applyBorder="1" applyAlignment="1">
      <alignment horizontal="left" vertical="top"/>
    </xf>
    <xf numFmtId="176" fontId="9" fillId="0" borderId="7" xfId="0" applyNumberFormat="1" applyFont="1" applyBorder="1" applyAlignment="1">
      <alignment horizontal="left" vertical="top"/>
    </xf>
    <xf numFmtId="176" fontId="9" fillId="0" borderId="24" xfId="0" applyNumberFormat="1" applyFont="1" applyBorder="1" applyAlignment="1">
      <alignment horizontal="left" vertical="top"/>
    </xf>
    <xf numFmtId="0" fontId="3" fillId="2" borderId="95"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4" xfId="0" applyFont="1" applyFill="1" applyBorder="1" applyAlignment="1">
      <alignment horizontal="center" vertical="center"/>
    </xf>
    <xf numFmtId="0" fontId="9" fillId="0" borderId="15" xfId="0" applyFont="1" applyBorder="1" applyAlignment="1">
      <alignment horizontal="center" vertical="top"/>
    </xf>
    <xf numFmtId="0" fontId="9" fillId="0" borderId="5" xfId="0" applyFont="1" applyBorder="1" applyAlignment="1">
      <alignment horizontal="center" vertical="top"/>
    </xf>
    <xf numFmtId="0" fontId="9" fillId="0" borderId="16" xfId="0" applyFont="1" applyBorder="1" applyAlignment="1">
      <alignment horizontal="center" vertical="top"/>
    </xf>
    <xf numFmtId="176" fontId="9" fillId="0" borderId="17" xfId="0" applyNumberFormat="1" applyFont="1" applyBorder="1" applyAlignment="1">
      <alignment horizontal="left" vertical="top"/>
    </xf>
    <xf numFmtId="176" fontId="9" fillId="0" borderId="5" xfId="0" applyNumberFormat="1" applyFont="1" applyBorder="1" applyAlignment="1">
      <alignment horizontal="left" vertical="top"/>
    </xf>
    <xf numFmtId="176" fontId="9" fillId="0" borderId="16" xfId="0" applyNumberFormat="1" applyFont="1" applyBorder="1" applyAlignment="1">
      <alignment horizontal="left" vertical="top"/>
    </xf>
    <xf numFmtId="0" fontId="12" fillId="5" borderId="50" xfId="0" applyFont="1" applyFill="1" applyBorder="1" applyAlignment="1">
      <alignment horizontal="center" vertical="center"/>
    </xf>
    <xf numFmtId="0" fontId="12" fillId="5" borderId="51" xfId="0" applyFont="1" applyFill="1" applyBorder="1" applyAlignment="1">
      <alignment horizontal="center" vertical="center"/>
    </xf>
    <xf numFmtId="0" fontId="12" fillId="5" borderId="52" xfId="0" applyFont="1" applyFill="1" applyBorder="1" applyAlignment="1">
      <alignment horizontal="center" vertical="center"/>
    </xf>
    <xf numFmtId="0" fontId="12" fillId="5" borderId="49" xfId="0" applyFont="1" applyFill="1" applyBorder="1" applyAlignment="1">
      <alignment horizontal="center" vertical="center"/>
    </xf>
    <xf numFmtId="0" fontId="12" fillId="5" borderId="42" xfId="0" applyFont="1" applyFill="1" applyBorder="1" applyAlignment="1">
      <alignment horizontal="center" vertical="center"/>
    </xf>
    <xf numFmtId="0" fontId="12" fillId="5" borderId="43" xfId="0" applyFont="1" applyFill="1" applyBorder="1" applyAlignment="1">
      <alignment horizontal="center" vertical="center"/>
    </xf>
    <xf numFmtId="38" fontId="5" fillId="2" borderId="53" xfId="1" applyFont="1" applyFill="1" applyBorder="1" applyAlignment="1">
      <alignment horizontal="center" vertical="center"/>
    </xf>
    <xf numFmtId="38" fontId="5" fillId="2" borderId="24" xfId="1" applyFont="1" applyFill="1" applyBorder="1" applyAlignment="1">
      <alignment horizontal="center" vertical="center"/>
    </xf>
    <xf numFmtId="38" fontId="5" fillId="2" borderId="8" xfId="1" applyFont="1" applyFill="1" applyBorder="1" applyAlignment="1">
      <alignment horizontal="center" vertical="center"/>
    </xf>
    <xf numFmtId="38" fontId="5" fillId="2" borderId="11" xfId="1" applyFont="1" applyFill="1" applyBorder="1" applyAlignment="1">
      <alignment horizontal="center" vertical="center"/>
    </xf>
    <xf numFmtId="38" fontId="5" fillId="2" borderId="6" xfId="1" applyFont="1" applyFill="1" applyBorder="1" applyAlignment="1">
      <alignment horizontal="center" vertical="center"/>
    </xf>
    <xf numFmtId="38" fontId="5" fillId="2" borderId="13" xfId="1" applyFont="1" applyFill="1" applyBorder="1" applyAlignment="1">
      <alignment horizontal="center" vertical="center"/>
    </xf>
    <xf numFmtId="0" fontId="5" fillId="2" borderId="23"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12" fillId="5" borderId="49" xfId="0" applyFont="1" applyFill="1" applyBorder="1" applyAlignment="1">
      <alignment horizontal="center" vertical="top"/>
    </xf>
    <xf numFmtId="0" fontId="12" fillId="5" borderId="42" xfId="0" applyFont="1" applyFill="1" applyBorder="1" applyAlignment="1">
      <alignment horizontal="center" vertical="top"/>
    </xf>
    <xf numFmtId="0" fontId="12" fillId="5" borderId="43" xfId="0" applyFont="1" applyFill="1" applyBorder="1" applyAlignment="1">
      <alignment horizontal="center" vertical="top"/>
    </xf>
    <xf numFmtId="0" fontId="12" fillId="5" borderId="61" xfId="0" applyFont="1" applyFill="1" applyBorder="1" applyAlignment="1">
      <alignment horizontal="center" vertical="top"/>
    </xf>
    <xf numFmtId="0" fontId="12" fillId="5" borderId="62" xfId="0" applyFont="1" applyFill="1" applyBorder="1" applyAlignment="1">
      <alignment horizontal="center" vertical="top"/>
    </xf>
    <xf numFmtId="0" fontId="12" fillId="5" borderId="63" xfId="0" applyFont="1" applyFill="1" applyBorder="1" applyAlignment="1">
      <alignment horizontal="center" vertical="top"/>
    </xf>
    <xf numFmtId="0" fontId="12" fillId="5" borderId="45" xfId="0" applyFont="1" applyFill="1" applyBorder="1" applyAlignment="1">
      <alignment horizontal="center" vertical="top"/>
    </xf>
    <xf numFmtId="0" fontId="12" fillId="5" borderId="46" xfId="0" applyFont="1" applyFill="1" applyBorder="1" applyAlignment="1">
      <alignment horizontal="center" vertical="top"/>
    </xf>
    <xf numFmtId="0" fontId="12" fillId="5" borderId="47" xfId="0" applyFont="1" applyFill="1" applyBorder="1" applyAlignment="1">
      <alignment horizontal="center" vertical="top"/>
    </xf>
    <xf numFmtId="0" fontId="12" fillId="5" borderId="45" xfId="0" applyFont="1" applyFill="1" applyBorder="1" applyAlignment="1">
      <alignment horizontal="center" vertical="center"/>
    </xf>
    <xf numFmtId="0" fontId="12" fillId="5" borderId="46" xfId="0" applyFont="1" applyFill="1" applyBorder="1" applyAlignment="1">
      <alignment horizontal="center" vertical="center"/>
    </xf>
    <xf numFmtId="0" fontId="12" fillId="5" borderId="47" xfId="0" applyFont="1" applyFill="1" applyBorder="1" applyAlignment="1">
      <alignment horizontal="center" vertical="center"/>
    </xf>
    <xf numFmtId="0" fontId="6" fillId="0" borderId="0" xfId="0" applyFont="1" applyAlignment="1">
      <alignment horizontal="center" vertical="center" shrinkToFit="1"/>
    </xf>
    <xf numFmtId="0" fontId="6" fillId="0" borderId="0" xfId="0" applyFont="1" applyAlignment="1">
      <alignment horizontal="left" vertical="center" shrinkToFit="1"/>
    </xf>
    <xf numFmtId="0" fontId="18" fillId="2" borderId="67" xfId="0" applyFont="1" applyFill="1" applyBorder="1" applyAlignment="1">
      <alignment horizontal="center" vertical="center" textRotation="255" shrinkToFit="1"/>
    </xf>
    <xf numFmtId="0" fontId="18" fillId="2" borderId="70" xfId="0" applyFont="1" applyFill="1" applyBorder="1" applyAlignment="1">
      <alignment horizontal="center" vertical="center" textRotation="255" shrinkToFit="1"/>
    </xf>
    <xf numFmtId="0" fontId="4" fillId="0" borderId="71" xfId="0" applyFont="1" applyBorder="1" applyAlignment="1">
      <alignment horizontal="center" vertical="top"/>
    </xf>
    <xf numFmtId="0" fontId="4" fillId="0" borderId="73" xfId="0" applyFont="1" applyBorder="1" applyAlignment="1">
      <alignment horizontal="center" vertical="top"/>
    </xf>
    <xf numFmtId="0" fontId="4" fillId="0" borderId="67" xfId="0" applyFont="1" applyBorder="1" applyAlignment="1">
      <alignment horizontal="center" vertical="top"/>
    </xf>
    <xf numFmtId="0" fontId="4" fillId="0" borderId="72" xfId="0" applyFont="1" applyBorder="1" applyAlignment="1">
      <alignment horizontal="center" vertical="top"/>
    </xf>
    <xf numFmtId="0" fontId="13" fillId="5" borderId="57" xfId="0" applyFont="1" applyFill="1" applyBorder="1" applyAlignment="1">
      <alignment horizontal="center" vertical="center" shrinkToFit="1" readingOrder="1"/>
    </xf>
    <xf numFmtId="0" fontId="5" fillId="2" borderId="24"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3" xfId="0" applyFont="1" applyFill="1" applyBorder="1" applyAlignment="1">
      <alignment horizontal="center" vertical="center"/>
    </xf>
    <xf numFmtId="0" fontId="10" fillId="2" borderId="23" xfId="0" applyFont="1" applyFill="1" applyBorder="1" applyAlignment="1">
      <alignment horizontal="center" vertical="center" wrapText="1"/>
    </xf>
    <xf numFmtId="0" fontId="10" fillId="2" borderId="7"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0" xfId="0" applyFont="1" applyFill="1" applyAlignment="1">
      <alignment horizontal="center" vertical="center"/>
    </xf>
    <xf numFmtId="0" fontId="10" fillId="2" borderId="1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13" xfId="0" applyFont="1" applyFill="1" applyBorder="1" applyAlignment="1">
      <alignment horizontal="center" vertical="center"/>
    </xf>
    <xf numFmtId="0" fontId="18" fillId="2" borderId="65" xfId="0" applyFont="1" applyFill="1" applyBorder="1" applyAlignment="1">
      <alignment horizontal="center" vertical="center" textRotation="255" shrinkToFit="1"/>
    </xf>
    <xf numFmtId="0" fontId="18" fillId="2" borderId="68" xfId="0" applyFont="1" applyFill="1" applyBorder="1" applyAlignment="1">
      <alignment horizontal="center" vertical="center" textRotation="255" shrinkToFit="1"/>
    </xf>
    <xf numFmtId="0" fontId="18" fillId="2" borderId="66" xfId="0" applyFont="1" applyFill="1" applyBorder="1" applyAlignment="1">
      <alignment horizontal="center" vertical="center" textRotation="255" shrinkToFit="1"/>
    </xf>
    <xf numFmtId="0" fontId="18" fillId="2" borderId="69" xfId="0" applyFont="1" applyFill="1" applyBorder="1" applyAlignment="1">
      <alignment horizontal="center" vertical="center" textRotation="255" shrinkToFit="1"/>
    </xf>
    <xf numFmtId="0" fontId="7" fillId="2" borderId="31" xfId="0" applyFont="1" applyFill="1" applyBorder="1" applyAlignment="1">
      <alignment horizontal="center" vertical="center" shrinkToFit="1"/>
    </xf>
    <xf numFmtId="0" fontId="7" fillId="2" borderId="32" xfId="0" applyFont="1" applyFill="1" applyBorder="1" applyAlignment="1">
      <alignment horizontal="center" vertical="center" shrinkToFit="1"/>
    </xf>
    <xf numFmtId="0" fontId="7" fillId="2" borderId="64" xfId="0" applyFont="1" applyFill="1" applyBorder="1" applyAlignment="1">
      <alignment horizontal="center" vertical="center" shrinkToFit="1"/>
    </xf>
    <xf numFmtId="0" fontId="6" fillId="0" borderId="12"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23" xfId="0" applyFont="1" applyBorder="1" applyAlignment="1">
      <alignment horizontal="left" vertical="top" wrapText="1"/>
    </xf>
    <xf numFmtId="0" fontId="6" fillId="0" borderId="7" xfId="0" applyFont="1" applyBorder="1" applyAlignment="1">
      <alignment horizontal="left" vertical="top" wrapText="1"/>
    </xf>
    <xf numFmtId="0" fontId="6" fillId="0" borderId="24" xfId="0" applyFont="1" applyBorder="1" applyAlignment="1">
      <alignment horizontal="left" vertical="top" wrapText="1"/>
    </xf>
    <xf numFmtId="0" fontId="6" fillId="0" borderId="15" xfId="0" applyFont="1" applyBorder="1" applyAlignment="1">
      <alignment vertical="top" wrapText="1"/>
    </xf>
    <xf numFmtId="0" fontId="6" fillId="0" borderId="5" xfId="0" applyFont="1" applyBorder="1" applyAlignment="1">
      <alignment vertical="top" wrapText="1"/>
    </xf>
    <xf numFmtId="0" fontId="6" fillId="0" borderId="16" xfId="0" applyFont="1" applyBorder="1" applyAlignment="1">
      <alignment vertical="top" wrapText="1"/>
    </xf>
    <xf numFmtId="0" fontId="6" fillId="0" borderId="10" xfId="0" applyFont="1" applyBorder="1" applyAlignment="1">
      <alignment vertical="top" wrapText="1"/>
    </xf>
    <xf numFmtId="0" fontId="6" fillId="0" borderId="0" xfId="0" applyFont="1" applyAlignment="1">
      <alignment vertical="top" wrapText="1"/>
    </xf>
    <xf numFmtId="0" fontId="6" fillId="0" borderId="11" xfId="0" applyFont="1" applyBorder="1" applyAlignment="1">
      <alignment vertical="top" wrapText="1"/>
    </xf>
    <xf numFmtId="0" fontId="6" fillId="0" borderId="19" xfId="0" applyFont="1" applyBorder="1" applyAlignment="1">
      <alignment vertical="top" wrapText="1"/>
    </xf>
    <xf numFmtId="0" fontId="6" fillId="0" borderId="20" xfId="0" applyFont="1" applyBorder="1" applyAlignment="1">
      <alignment vertical="top" wrapText="1"/>
    </xf>
    <xf numFmtId="0" fontId="6" fillId="0" borderId="21" xfId="0" applyFont="1" applyBorder="1" applyAlignment="1">
      <alignment vertical="top" wrapText="1"/>
    </xf>
    <xf numFmtId="0" fontId="4" fillId="4" borderId="88" xfId="0" applyFont="1" applyFill="1" applyBorder="1" applyAlignment="1">
      <alignment horizontal="center" vertical="center"/>
    </xf>
    <xf numFmtId="0" fontId="4" fillId="4" borderId="89" xfId="0" applyFont="1" applyFill="1" applyBorder="1" applyAlignment="1">
      <alignment horizontal="center" vertical="center"/>
    </xf>
    <xf numFmtId="0" fontId="4" fillId="4" borderId="59"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colors>
    <mruColors>
      <color rgb="FFFFFFCC"/>
      <color rgb="FF0000FF"/>
      <color rgb="FFFFFFFF"/>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Z174"/>
  <sheetViews>
    <sheetView showGridLines="0" tabSelected="1" zoomScaleNormal="100" zoomScaleSheetLayoutView="100" zoomScalePageLayoutView="145" workbookViewId="0"/>
  </sheetViews>
  <sheetFormatPr defaultColWidth="2.6328125" defaultRowHeight="15" x14ac:dyDescent="0.2"/>
  <cols>
    <col min="1" max="28" width="2.6328125" style="1"/>
    <col min="29" max="40" width="2.6328125" style="2"/>
    <col min="41" max="46" width="2.6328125" style="1"/>
    <col min="47" max="51" width="2.6328125" style="1" customWidth="1"/>
    <col min="52" max="56" width="2.6328125" style="1"/>
    <col min="57" max="57" width="2.6328125" style="1" customWidth="1"/>
    <col min="58" max="65" width="2.6328125" style="1"/>
    <col min="66" max="66" width="3.6328125" style="1" customWidth="1"/>
    <col min="67" max="75" width="3.26953125" style="1" hidden="1" customWidth="1"/>
    <col min="76" max="76" width="1.36328125" style="1" hidden="1" customWidth="1"/>
    <col min="77" max="77" width="3.36328125" style="1" hidden="1" customWidth="1"/>
    <col min="78" max="78" width="15.7265625" style="1" hidden="1" customWidth="1"/>
    <col min="79" max="16384" width="2.6328125" style="1"/>
  </cols>
  <sheetData>
    <row r="1" spans="1:78" ht="16" x14ac:dyDescent="0.2">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3"/>
      <c r="AF1" s="33"/>
      <c r="AG1" s="33"/>
      <c r="AH1" s="33"/>
      <c r="AI1" s="33"/>
      <c r="AJ1" s="33"/>
      <c r="AK1" s="33"/>
      <c r="AL1" s="33"/>
      <c r="AM1" s="33"/>
      <c r="AN1" s="33"/>
      <c r="AO1" s="33"/>
      <c r="AP1" s="33"/>
      <c r="AQ1" s="33"/>
      <c r="AR1" s="33"/>
      <c r="AS1" s="33"/>
      <c r="AT1" s="33"/>
      <c r="AU1" s="33"/>
      <c r="AV1" s="33"/>
      <c r="AW1" s="33"/>
      <c r="AX1" s="32"/>
      <c r="AY1" s="32"/>
      <c r="AZ1" s="32"/>
      <c r="BA1" s="32"/>
      <c r="BB1" s="32"/>
      <c r="BC1" s="32"/>
      <c r="BD1" s="32"/>
      <c r="BE1" s="32"/>
      <c r="BF1" s="32"/>
      <c r="BG1" s="32"/>
      <c r="BH1" s="32"/>
      <c r="BI1" s="32"/>
      <c r="BJ1" s="32"/>
      <c r="BK1" s="32"/>
      <c r="BL1" s="32"/>
      <c r="BM1" s="34" t="s">
        <v>292</v>
      </c>
    </row>
    <row r="2" spans="1:78" s="3" customFormat="1" ht="16" x14ac:dyDescent="0.2">
      <c r="A2" s="219" t="s">
        <v>0</v>
      </c>
      <c r="B2" s="220"/>
      <c r="C2" s="220"/>
      <c r="D2" s="220"/>
      <c r="E2" s="220"/>
      <c r="F2" s="221"/>
      <c r="G2" s="4"/>
      <c r="H2" s="5"/>
      <c r="I2" s="5"/>
      <c r="J2" s="5"/>
      <c r="K2" s="5"/>
      <c r="L2" s="5"/>
      <c r="M2" s="5"/>
      <c r="N2" s="5"/>
      <c r="O2" s="5"/>
      <c r="P2" s="18"/>
      <c r="Q2" s="219" t="s">
        <v>1</v>
      </c>
      <c r="R2" s="220"/>
      <c r="S2" s="220"/>
      <c r="T2" s="221"/>
      <c r="U2" s="4" t="s">
        <v>2</v>
      </c>
      <c r="V2" s="15"/>
      <c r="W2" s="5"/>
      <c r="X2" s="18"/>
      <c r="Y2" s="219" t="s">
        <v>3</v>
      </c>
      <c r="Z2" s="220"/>
      <c r="AA2" s="220"/>
      <c r="AB2" s="221"/>
      <c r="AC2" s="4" t="s">
        <v>4</v>
      </c>
      <c r="AD2" s="5"/>
      <c r="AE2" s="7"/>
      <c r="AF2" s="7"/>
      <c r="AG2" s="7"/>
      <c r="AH2" s="7"/>
      <c r="AI2" s="7"/>
      <c r="AJ2" s="7"/>
      <c r="AK2" s="7"/>
      <c r="AL2" s="7"/>
      <c r="AM2" s="7"/>
      <c r="AN2" s="7"/>
      <c r="AO2" s="7"/>
      <c r="AP2" s="7"/>
      <c r="AQ2" s="7"/>
      <c r="AR2" s="7"/>
      <c r="AS2" s="19"/>
      <c r="AT2" s="7"/>
      <c r="AU2" s="7"/>
      <c r="AV2" s="7"/>
      <c r="AW2" s="19"/>
      <c r="AX2" s="219" t="s">
        <v>5</v>
      </c>
      <c r="AY2" s="220"/>
      <c r="AZ2" s="220"/>
      <c r="BA2" s="221"/>
      <c r="BB2" s="4" t="s">
        <v>6</v>
      </c>
      <c r="BC2" s="15"/>
      <c r="BD2" s="15"/>
      <c r="BE2" s="5"/>
      <c r="BF2" s="5"/>
      <c r="BG2" s="5"/>
      <c r="BH2" s="5"/>
      <c r="BI2" s="5"/>
      <c r="BJ2" s="5"/>
      <c r="BK2" s="5"/>
      <c r="BL2" s="5"/>
      <c r="BM2" s="6"/>
    </row>
    <row r="3" spans="1:78" s="3" customFormat="1" ht="16" x14ac:dyDescent="0.2">
      <c r="A3" s="222" t="s">
        <v>7</v>
      </c>
      <c r="B3" s="223"/>
      <c r="C3" s="223"/>
      <c r="D3" s="223"/>
      <c r="E3" s="223"/>
      <c r="F3" s="224"/>
      <c r="G3" s="4" t="s">
        <v>293</v>
      </c>
      <c r="H3" s="5"/>
      <c r="I3" s="5"/>
      <c r="J3" s="5"/>
      <c r="K3" s="5"/>
      <c r="L3" s="5"/>
      <c r="M3" s="5"/>
      <c r="N3" s="5"/>
      <c r="O3" s="5"/>
      <c r="P3" s="18"/>
      <c r="Q3" s="249" t="s">
        <v>8</v>
      </c>
      <c r="R3" s="250"/>
      <c r="S3" s="250"/>
      <c r="T3" s="251"/>
      <c r="U3" s="4" t="s">
        <v>280</v>
      </c>
      <c r="V3" s="15"/>
      <c r="W3" s="5"/>
      <c r="X3" s="18"/>
      <c r="Y3" s="249" t="s">
        <v>9</v>
      </c>
      <c r="Z3" s="250"/>
      <c r="AA3" s="250"/>
      <c r="AB3" s="251"/>
      <c r="AC3" s="4" t="s">
        <v>10</v>
      </c>
      <c r="AD3" s="5"/>
      <c r="AE3" s="7"/>
      <c r="AF3" s="7"/>
      <c r="AG3" s="7"/>
      <c r="AH3" s="7"/>
      <c r="AI3" s="7"/>
      <c r="AJ3" s="7"/>
      <c r="AK3" s="7"/>
      <c r="AL3" s="7"/>
      <c r="AM3" s="7"/>
      <c r="AN3" s="7"/>
      <c r="AO3" s="7"/>
      <c r="AP3" s="7"/>
      <c r="AQ3" s="7"/>
      <c r="AR3" s="7"/>
      <c r="AS3" s="19"/>
      <c r="AT3" s="7"/>
      <c r="AU3" s="7"/>
      <c r="AV3" s="7"/>
      <c r="AW3" s="19"/>
      <c r="AX3" s="249" t="s">
        <v>11</v>
      </c>
      <c r="AY3" s="250"/>
      <c r="AZ3" s="250"/>
      <c r="BA3" s="251"/>
      <c r="BB3" s="4" t="s">
        <v>12</v>
      </c>
      <c r="BC3" s="15"/>
      <c r="BD3" s="15"/>
      <c r="BE3" s="5"/>
      <c r="BF3" s="5"/>
      <c r="BG3" s="5"/>
      <c r="BH3" s="5"/>
      <c r="BI3" s="5"/>
      <c r="BJ3" s="5"/>
      <c r="BK3" s="5"/>
      <c r="BL3" s="5"/>
      <c r="BM3" s="6"/>
    </row>
    <row r="4" spans="1:78" s="3" customFormat="1" ht="19.899999999999999" customHeight="1" x14ac:dyDescent="0.2">
      <c r="A4" s="240" t="s">
        <v>13</v>
      </c>
      <c r="B4" s="241"/>
      <c r="C4" s="241"/>
      <c r="D4" s="241"/>
      <c r="E4" s="241"/>
      <c r="F4" s="242"/>
      <c r="G4" s="51" t="s">
        <v>14</v>
      </c>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25"/>
    </row>
    <row r="5" spans="1:78" s="3" customFormat="1" ht="19.899999999999999" customHeight="1" x14ac:dyDescent="0.2">
      <c r="A5" s="240"/>
      <c r="B5" s="241"/>
      <c r="C5" s="241"/>
      <c r="D5" s="241"/>
      <c r="E5" s="241"/>
      <c r="F5" s="242"/>
      <c r="G5" s="3" t="s">
        <v>278</v>
      </c>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25"/>
    </row>
    <row r="6" spans="1:78" s="3" customFormat="1" ht="19.899999999999999" customHeight="1" x14ac:dyDescent="0.2">
      <c r="A6" s="240"/>
      <c r="B6" s="241"/>
      <c r="C6" s="241"/>
      <c r="D6" s="241"/>
      <c r="E6" s="241"/>
      <c r="F6" s="242"/>
      <c r="G6" s="51" t="s">
        <v>15</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25"/>
    </row>
    <row r="7" spans="1:78" s="3" customFormat="1" ht="19.899999999999999" customHeight="1" x14ac:dyDescent="0.2">
      <c r="A7" s="240"/>
      <c r="B7" s="241"/>
      <c r="C7" s="241"/>
      <c r="D7" s="241"/>
      <c r="E7" s="241"/>
      <c r="F7" s="242"/>
      <c r="G7" s="21" t="s">
        <v>16</v>
      </c>
      <c r="H7" s="21"/>
      <c r="I7" s="21"/>
      <c r="J7" s="21"/>
      <c r="K7" s="21"/>
      <c r="L7" s="21"/>
      <c r="M7" s="21"/>
      <c r="N7" s="21"/>
      <c r="O7" s="21"/>
      <c r="P7" s="21"/>
      <c r="Q7" s="21"/>
      <c r="R7" s="21"/>
      <c r="S7" s="21"/>
      <c r="T7" s="21"/>
      <c r="U7" s="21"/>
      <c r="V7" s="21"/>
      <c r="W7" s="21"/>
      <c r="X7" s="21"/>
      <c r="Y7" s="21"/>
      <c r="Z7" s="21"/>
      <c r="AA7" s="21"/>
      <c r="AB7" s="21"/>
      <c r="AC7" s="21"/>
      <c r="AD7" s="21"/>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6"/>
    </row>
    <row r="8" spans="1:78" s="3" customFormat="1" ht="19.899999999999999" customHeight="1" x14ac:dyDescent="0.2">
      <c r="A8" s="240" t="s">
        <v>17</v>
      </c>
      <c r="B8" s="241"/>
      <c r="C8" s="241"/>
      <c r="D8" s="241"/>
      <c r="E8" s="241"/>
      <c r="F8" s="242"/>
      <c r="G8" s="23" t="s">
        <v>18</v>
      </c>
      <c r="H8" s="23"/>
      <c r="I8" s="23"/>
      <c r="J8" s="23"/>
      <c r="K8" s="23"/>
      <c r="L8" s="23"/>
      <c r="M8" s="23"/>
      <c r="N8" s="23"/>
      <c r="O8" s="23"/>
      <c r="P8" s="23"/>
      <c r="Q8" s="23"/>
      <c r="R8" s="23"/>
      <c r="S8" s="23"/>
      <c r="T8" s="23"/>
      <c r="U8" s="23"/>
      <c r="V8" s="23"/>
      <c r="W8" s="23"/>
      <c r="X8" s="23"/>
      <c r="Y8" s="23"/>
      <c r="Z8" s="23"/>
      <c r="AA8" s="23"/>
      <c r="AB8" s="23"/>
      <c r="AC8" s="23"/>
      <c r="AD8" s="23"/>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7"/>
    </row>
    <row r="9" spans="1:78" s="3" customFormat="1" ht="19.899999999999999" customHeight="1" x14ac:dyDescent="0.2">
      <c r="A9" s="240"/>
      <c r="B9" s="241"/>
      <c r="C9" s="241"/>
      <c r="D9" s="241"/>
      <c r="E9" s="241"/>
      <c r="F9" s="242"/>
      <c r="G9" s="3" t="s">
        <v>19</v>
      </c>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25"/>
    </row>
    <row r="10" spans="1:78" s="3" customFormat="1" ht="19.899999999999999" customHeight="1" x14ac:dyDescent="0.2">
      <c r="A10" s="240"/>
      <c r="B10" s="241"/>
      <c r="C10" s="241"/>
      <c r="D10" s="241"/>
      <c r="E10" s="241"/>
      <c r="F10" s="242"/>
      <c r="G10" s="3" t="s">
        <v>20</v>
      </c>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25"/>
    </row>
    <row r="11" spans="1:78" s="3" customFormat="1" ht="19.899999999999999" customHeight="1" x14ac:dyDescent="0.2">
      <c r="A11" s="243"/>
      <c r="B11" s="244"/>
      <c r="C11" s="244"/>
      <c r="D11" s="244"/>
      <c r="E11" s="244"/>
      <c r="F11" s="245"/>
      <c r="G11" s="3" t="s">
        <v>21</v>
      </c>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25"/>
    </row>
    <row r="12" spans="1:78" s="3" customFormat="1" ht="19.899999999999999" customHeight="1" x14ac:dyDescent="0.2">
      <c r="A12" s="246"/>
      <c r="B12" s="247"/>
      <c r="C12" s="247"/>
      <c r="D12" s="247"/>
      <c r="E12" s="247"/>
      <c r="F12" s="248"/>
      <c r="G12" s="21" t="s">
        <v>22</v>
      </c>
      <c r="H12" s="21"/>
      <c r="I12" s="21"/>
      <c r="J12" s="21"/>
      <c r="K12" s="21"/>
      <c r="L12" s="21"/>
      <c r="M12" s="21"/>
      <c r="N12" s="21"/>
      <c r="O12" s="21"/>
      <c r="P12" s="21"/>
      <c r="Q12" s="21"/>
      <c r="R12" s="21"/>
      <c r="S12" s="21"/>
      <c r="T12" s="21"/>
      <c r="U12" s="21"/>
      <c r="V12" s="21"/>
      <c r="W12" s="21"/>
      <c r="X12" s="21"/>
      <c r="Y12" s="21"/>
      <c r="Z12" s="21"/>
      <c r="AA12" s="21"/>
      <c r="AB12" s="21"/>
      <c r="AC12" s="21"/>
      <c r="AD12" s="21"/>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6"/>
    </row>
    <row r="13" spans="1:78" ht="15" customHeight="1" x14ac:dyDescent="0.2">
      <c r="A13" s="252"/>
      <c r="B13" s="252"/>
      <c r="C13" s="53"/>
      <c r="D13" s="53"/>
      <c r="E13" s="8"/>
      <c r="F13" s="17"/>
      <c r="G13" s="253"/>
      <c r="H13" s="253"/>
      <c r="J13" s="9"/>
      <c r="K13" s="9"/>
      <c r="L13" s="9"/>
      <c r="M13" s="9"/>
      <c r="N13" s="8"/>
      <c r="O13" s="17"/>
      <c r="P13" s="9"/>
      <c r="AC13" s="1"/>
      <c r="AD13" s="1"/>
      <c r="AE13" s="1"/>
      <c r="AF13" s="1"/>
      <c r="AG13" s="1"/>
      <c r="AH13" s="1"/>
      <c r="AI13" s="1"/>
      <c r="AJ13" s="1"/>
      <c r="AK13" s="1"/>
      <c r="AL13" s="1"/>
      <c r="AM13" s="1"/>
      <c r="AN13" s="1"/>
      <c r="BN13" s="3"/>
      <c r="BO13" s="3"/>
      <c r="BP13" s="3"/>
      <c r="BQ13" s="3"/>
      <c r="BR13" s="3"/>
      <c r="BS13" s="3"/>
      <c r="BT13" s="3"/>
      <c r="BU13" s="3"/>
      <c r="BV13" s="3"/>
      <c r="BW13" s="3"/>
      <c r="BX13" s="3"/>
      <c r="BY13" s="3"/>
      <c r="BZ13" s="3"/>
    </row>
    <row r="14" spans="1:78" s="3" customFormat="1" ht="19.5" x14ac:dyDescent="0.2">
      <c r="A14" s="20" t="s">
        <v>23</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3"/>
      <c r="BL14" s="13"/>
    </row>
    <row r="15" spans="1:78" s="3" customFormat="1" ht="16.149999999999999" customHeight="1" x14ac:dyDescent="0.2">
      <c r="A15" s="145" t="s">
        <v>24</v>
      </c>
      <c r="B15" s="145"/>
      <c r="C15" s="145"/>
      <c r="D15" s="145"/>
      <c r="E15" s="145"/>
      <c r="F15" s="146"/>
      <c r="G15" s="149" t="s">
        <v>25</v>
      </c>
      <c r="H15" s="150"/>
      <c r="I15" s="150"/>
      <c r="J15" s="150"/>
      <c r="K15" s="150"/>
      <c r="L15" s="150"/>
      <c r="M15" s="150"/>
      <c r="N15" s="150"/>
      <c r="O15" s="151"/>
      <c r="P15" s="149" t="s">
        <v>26</v>
      </c>
      <c r="Q15" s="150"/>
      <c r="R15" s="150"/>
      <c r="S15" s="150"/>
      <c r="T15" s="150"/>
      <c r="U15" s="150"/>
      <c r="V15" s="150"/>
      <c r="W15" s="150"/>
      <c r="X15" s="151"/>
      <c r="Y15" s="149" t="s">
        <v>27</v>
      </c>
      <c r="Z15" s="150"/>
      <c r="AA15" s="150"/>
      <c r="AB15" s="150"/>
      <c r="AC15" s="150"/>
      <c r="AD15" s="150"/>
      <c r="AE15" s="150"/>
      <c r="AF15" s="150"/>
      <c r="AG15" s="151"/>
      <c r="AH15" s="149" t="s">
        <v>28</v>
      </c>
      <c r="AI15" s="150"/>
      <c r="AJ15" s="150"/>
      <c r="AK15" s="150"/>
      <c r="AL15" s="150"/>
      <c r="AM15" s="150"/>
      <c r="AN15" s="150"/>
      <c r="AO15" s="150"/>
      <c r="AP15" s="151"/>
      <c r="AQ15" s="149" t="s">
        <v>29</v>
      </c>
      <c r="AR15" s="150"/>
      <c r="AS15" s="150"/>
      <c r="AT15" s="150"/>
      <c r="AU15" s="150"/>
      <c r="AV15" s="150"/>
      <c r="AW15" s="150"/>
      <c r="AX15" s="150"/>
      <c r="AY15" s="151"/>
      <c r="AZ15" s="149" t="s">
        <v>30</v>
      </c>
      <c r="BA15" s="150"/>
      <c r="BB15" s="150"/>
      <c r="BC15" s="150"/>
      <c r="BD15" s="150"/>
      <c r="BE15" s="150"/>
      <c r="BF15" s="150"/>
      <c r="BG15" s="150"/>
      <c r="BH15" s="150"/>
      <c r="BJ15" s="37"/>
      <c r="BK15" s="37"/>
      <c r="BL15" s="37"/>
      <c r="BM15" s="37"/>
    </row>
    <row r="16" spans="1:78" s="3" customFormat="1" ht="16.149999999999999" customHeight="1" x14ac:dyDescent="0.2">
      <c r="A16" s="147"/>
      <c r="B16" s="147"/>
      <c r="C16" s="147"/>
      <c r="D16" s="147"/>
      <c r="E16" s="147"/>
      <c r="F16" s="148"/>
      <c r="G16" s="102" t="str">
        <f>INT(BR39/12)&amp;"年"&amp;MOD(BR39,12)&amp;"ヶ月"</f>
        <v>3年11ヶ月</v>
      </c>
      <c r="H16" s="158"/>
      <c r="I16" s="158"/>
      <c r="J16" s="158"/>
      <c r="K16" s="158"/>
      <c r="L16" s="158"/>
      <c r="M16" s="158"/>
      <c r="N16" s="158"/>
      <c r="O16" s="159"/>
      <c r="P16" s="102" t="str">
        <f>INT(BS39/12)&amp;"年"&amp;MOD(BS39,12)&amp;"ヶ月"</f>
        <v>0年10ヶ月</v>
      </c>
      <c r="Q16" s="158"/>
      <c r="R16" s="158"/>
      <c r="S16" s="158"/>
      <c r="T16" s="158"/>
      <c r="U16" s="158"/>
      <c r="V16" s="158"/>
      <c r="W16" s="158"/>
      <c r="X16" s="159"/>
      <c r="Y16" s="102" t="str">
        <f>INT(BT39/12)&amp;"年"&amp;MOD(BT39,12)&amp;"ヶ月"</f>
        <v>8年1ヶ月</v>
      </c>
      <c r="Z16" s="158"/>
      <c r="AA16" s="158"/>
      <c r="AB16" s="158"/>
      <c r="AC16" s="158"/>
      <c r="AD16" s="158"/>
      <c r="AE16" s="158"/>
      <c r="AF16" s="158"/>
      <c r="AG16" s="159"/>
      <c r="AH16" s="102" t="str">
        <f>INT(BU39/12)&amp;"年"&amp;MOD(BU39,12)&amp;"ヶ月"</f>
        <v>6年11ヶ月</v>
      </c>
      <c r="AI16" s="158"/>
      <c r="AJ16" s="158"/>
      <c r="AK16" s="158"/>
      <c r="AL16" s="158"/>
      <c r="AM16" s="158"/>
      <c r="AN16" s="158"/>
      <c r="AO16" s="158"/>
      <c r="AP16" s="159"/>
      <c r="AQ16" s="102" t="str">
        <f>INT(BV39/12)&amp;"年"&amp;MOD(BV39,12)&amp;"ヶ月"</f>
        <v>7年6ヶ月</v>
      </c>
      <c r="AR16" s="158"/>
      <c r="AS16" s="158"/>
      <c r="AT16" s="158"/>
      <c r="AU16" s="158"/>
      <c r="AV16" s="158"/>
      <c r="AW16" s="158"/>
      <c r="AX16" s="158"/>
      <c r="AY16" s="159"/>
      <c r="AZ16" s="102" t="str">
        <f>INT(BW39/12)&amp;"年"&amp;MOD(BW39,12)&amp;"ヶ月"</f>
        <v>5年4ヶ月</v>
      </c>
      <c r="BA16" s="158"/>
      <c r="BB16" s="158"/>
      <c r="BC16" s="158"/>
      <c r="BD16" s="158"/>
      <c r="BE16" s="158"/>
      <c r="BF16" s="158"/>
      <c r="BG16" s="158"/>
      <c r="BH16" s="159"/>
      <c r="BJ16" s="37"/>
      <c r="BK16" s="37"/>
      <c r="BL16" s="37"/>
      <c r="BM16" s="37"/>
    </row>
    <row r="17" spans="1:78" s="30" customFormat="1" ht="6.65" customHeight="1" x14ac:dyDescent="0.2">
      <c r="A17" s="28"/>
      <c r="B17" s="28"/>
      <c r="C17" s="28"/>
      <c r="D17" s="28"/>
      <c r="E17" s="28"/>
      <c r="F17" s="28"/>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3"/>
      <c r="BA17" s="3"/>
      <c r="BB17" s="3"/>
      <c r="BC17" s="3"/>
      <c r="BD17" s="3"/>
      <c r="BE17" s="3"/>
      <c r="BF17" s="3"/>
      <c r="BG17" s="3"/>
      <c r="BH17" s="3"/>
      <c r="BI17" s="3"/>
      <c r="BJ17" s="1"/>
      <c r="BK17" s="1"/>
      <c r="BL17" s="3"/>
      <c r="BM17" s="37"/>
      <c r="BN17" s="3"/>
      <c r="BO17" s="3"/>
      <c r="BP17" s="3"/>
      <c r="BQ17" s="3"/>
      <c r="BR17" s="3"/>
      <c r="BS17" s="3"/>
      <c r="BT17" s="3"/>
      <c r="BU17" s="3"/>
      <c r="BV17" s="3"/>
      <c r="BW17" s="3"/>
      <c r="BX17" s="3"/>
      <c r="BY17" s="3"/>
      <c r="BZ17" s="3"/>
    </row>
    <row r="18" spans="1:78" s="3" customFormat="1" ht="16.149999999999999" customHeight="1" x14ac:dyDescent="0.2">
      <c r="A18" s="145" t="s">
        <v>31</v>
      </c>
      <c r="B18" s="145"/>
      <c r="C18" s="145"/>
      <c r="D18" s="145"/>
      <c r="E18" s="145"/>
      <c r="F18" s="146"/>
      <c r="G18" s="141" t="s">
        <v>32</v>
      </c>
      <c r="H18" s="142"/>
      <c r="I18" s="142"/>
      <c r="J18" s="142"/>
      <c r="K18" s="142"/>
      <c r="L18" s="142"/>
      <c r="M18" s="142"/>
      <c r="N18" s="142"/>
      <c r="O18" s="157"/>
      <c r="P18" s="141" t="s">
        <v>33</v>
      </c>
      <c r="Q18" s="142"/>
      <c r="R18" s="142"/>
      <c r="S18" s="142"/>
      <c r="T18" s="142"/>
      <c r="U18" s="142"/>
      <c r="V18" s="142"/>
      <c r="W18" s="142"/>
      <c r="X18" s="157"/>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37"/>
      <c r="BL18" s="37"/>
      <c r="BM18" s="37"/>
    </row>
    <row r="19" spans="1:78" s="3" customFormat="1" ht="16.149999999999999" customHeight="1" x14ac:dyDescent="0.2">
      <c r="A19" s="147"/>
      <c r="B19" s="147"/>
      <c r="C19" s="147"/>
      <c r="D19" s="147"/>
      <c r="E19" s="147"/>
      <c r="F19" s="148"/>
      <c r="G19" s="102" t="str">
        <f>INT(BP39/12)&amp;"年"&amp;MOD(BP39,12)&amp;"ヶ月"</f>
        <v>16年5ヶ月</v>
      </c>
      <c r="H19" s="158"/>
      <c r="I19" s="158"/>
      <c r="J19" s="158"/>
      <c r="K19" s="158"/>
      <c r="L19" s="158"/>
      <c r="M19" s="158"/>
      <c r="N19" s="158"/>
      <c r="O19" s="159"/>
      <c r="P19" s="102" t="str">
        <f>INT(BQ39/12)&amp;"年"&amp;MOD(BQ39,12)&amp;"ヶ月"</f>
        <v>16年8ヶ月</v>
      </c>
      <c r="Q19" s="158"/>
      <c r="R19" s="158"/>
      <c r="S19" s="158"/>
      <c r="T19" s="158"/>
      <c r="U19" s="158"/>
      <c r="V19" s="158"/>
      <c r="W19" s="158"/>
      <c r="X19" s="159"/>
      <c r="BJ19" s="1"/>
      <c r="BK19" s="37"/>
      <c r="BL19" s="37"/>
      <c r="BM19" s="37"/>
    </row>
    <row r="20" spans="1:78" s="30" customFormat="1" ht="6.65" customHeight="1" x14ac:dyDescent="0.2">
      <c r="A20" s="28"/>
      <c r="B20" s="28"/>
      <c r="C20" s="28"/>
      <c r="D20" s="28"/>
      <c r="E20" s="28"/>
      <c r="F20" s="28"/>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7"/>
      <c r="BN20" s="3"/>
      <c r="BO20" s="3"/>
      <c r="BP20" s="3"/>
      <c r="BQ20" s="3"/>
      <c r="BR20" s="3"/>
      <c r="BS20" s="3"/>
      <c r="BT20" s="3"/>
      <c r="BU20" s="3"/>
      <c r="BV20" s="3"/>
      <c r="BW20" s="3"/>
      <c r="BX20" s="3"/>
      <c r="BY20" s="3"/>
      <c r="BZ20" s="3"/>
    </row>
    <row r="21" spans="1:78" s="3" customFormat="1" ht="16.149999999999999" customHeight="1" x14ac:dyDescent="0.2">
      <c r="A21" s="152" t="s">
        <v>34</v>
      </c>
      <c r="B21" s="152"/>
      <c r="C21" s="152"/>
      <c r="D21" s="152"/>
      <c r="E21" s="152"/>
      <c r="F21" s="153"/>
      <c r="G21" s="141" t="s">
        <v>35</v>
      </c>
      <c r="H21" s="142"/>
      <c r="I21" s="142"/>
      <c r="J21" s="142"/>
      <c r="K21" s="142"/>
      <c r="L21" s="142"/>
      <c r="M21" s="142"/>
      <c r="N21" s="142"/>
      <c r="O21" s="142"/>
      <c r="P21" s="141" t="s">
        <v>36</v>
      </c>
      <c r="Q21" s="142"/>
      <c r="R21" s="142"/>
      <c r="S21" s="142"/>
      <c r="T21" s="142"/>
      <c r="U21" s="142"/>
      <c r="V21" s="142"/>
      <c r="W21" s="142"/>
      <c r="X21" s="157"/>
      <c r="Y21" s="141" t="s">
        <v>37</v>
      </c>
      <c r="Z21" s="142"/>
      <c r="AA21" s="142"/>
      <c r="AB21" s="142"/>
      <c r="AC21" s="142"/>
      <c r="AD21" s="142"/>
      <c r="AE21" s="142"/>
      <c r="AF21" s="142"/>
      <c r="AG21" s="157"/>
      <c r="AH21" s="141" t="s">
        <v>38</v>
      </c>
      <c r="AI21" s="142"/>
      <c r="AJ21" s="142"/>
      <c r="AK21" s="142"/>
      <c r="AL21" s="142"/>
      <c r="AM21" s="142"/>
      <c r="AN21" s="142"/>
      <c r="AO21" s="142"/>
      <c r="AP21" s="157"/>
      <c r="AQ21" s="141" t="s">
        <v>39</v>
      </c>
      <c r="AR21" s="142"/>
      <c r="AS21" s="142"/>
      <c r="AT21" s="142"/>
      <c r="AU21" s="142"/>
      <c r="AV21" s="142"/>
      <c r="AW21" s="142"/>
      <c r="AX21" s="142"/>
      <c r="AY21" s="157"/>
      <c r="BJ21" s="1"/>
      <c r="BK21" s="1"/>
      <c r="BM21" s="37"/>
    </row>
    <row r="22" spans="1:78" s="3" customFormat="1" ht="16.149999999999999" customHeight="1" x14ac:dyDescent="0.2">
      <c r="A22" s="147"/>
      <c r="B22" s="147"/>
      <c r="C22" s="147"/>
      <c r="D22" s="147"/>
      <c r="E22" s="147"/>
      <c r="F22" s="148"/>
      <c r="G22" s="102" t="s">
        <v>40</v>
      </c>
      <c r="H22" s="158"/>
      <c r="I22" s="158"/>
      <c r="J22" s="158"/>
      <c r="K22" s="158"/>
      <c r="L22" s="158"/>
      <c r="M22" s="158"/>
      <c r="N22" s="158"/>
      <c r="O22" s="158"/>
      <c r="P22" s="102" t="s">
        <v>40</v>
      </c>
      <c r="Q22" s="158"/>
      <c r="R22" s="158"/>
      <c r="S22" s="158"/>
      <c r="T22" s="158"/>
      <c r="U22" s="158"/>
      <c r="V22" s="158"/>
      <c r="W22" s="158"/>
      <c r="X22" s="159"/>
      <c r="Y22" s="102" t="s">
        <v>40</v>
      </c>
      <c r="Z22" s="158"/>
      <c r="AA22" s="158"/>
      <c r="AB22" s="158"/>
      <c r="AC22" s="158"/>
      <c r="AD22" s="158"/>
      <c r="AE22" s="158"/>
      <c r="AF22" s="158"/>
      <c r="AG22" s="159"/>
      <c r="AH22" s="102" t="s">
        <v>40</v>
      </c>
      <c r="AI22" s="158"/>
      <c r="AJ22" s="158"/>
      <c r="AK22" s="158"/>
      <c r="AL22" s="158"/>
      <c r="AM22" s="158"/>
      <c r="AN22" s="158"/>
      <c r="AO22" s="158"/>
      <c r="AP22" s="159"/>
      <c r="AQ22" s="102" t="s">
        <v>41</v>
      </c>
      <c r="AR22" s="158"/>
      <c r="AS22" s="158"/>
      <c r="AT22" s="158"/>
      <c r="AU22" s="158"/>
      <c r="AV22" s="158"/>
      <c r="AW22" s="158"/>
      <c r="AX22" s="158"/>
      <c r="AY22" s="159"/>
      <c r="BJ22" s="1"/>
      <c r="BK22" s="1"/>
      <c r="BM22" s="37"/>
    </row>
    <row r="23" spans="1:78" s="30" customFormat="1" ht="6.65" customHeight="1" x14ac:dyDescent="0.2">
      <c r="A23" s="28"/>
      <c r="B23" s="28"/>
      <c r="C23" s="28"/>
      <c r="D23" s="28"/>
      <c r="E23" s="28"/>
      <c r="F23" s="28"/>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49"/>
      <c r="AX23" s="49"/>
      <c r="AY23" s="49"/>
      <c r="AZ23" s="49"/>
      <c r="BA23" s="49"/>
      <c r="BB23" s="49"/>
      <c r="BC23" s="49"/>
      <c r="BD23" s="49"/>
      <c r="BE23" s="49"/>
      <c r="BF23" s="49"/>
      <c r="BG23" s="49"/>
      <c r="BH23" s="49"/>
      <c r="BI23" s="1"/>
      <c r="BJ23" s="36"/>
      <c r="BK23" s="37"/>
      <c r="BL23" s="37"/>
      <c r="BM23" s="37"/>
      <c r="BN23" s="3"/>
      <c r="BO23" s="3"/>
      <c r="BP23" s="3"/>
      <c r="BQ23" s="3"/>
      <c r="BR23" s="3"/>
      <c r="BS23" s="3"/>
      <c r="BT23" s="3"/>
      <c r="BU23" s="3"/>
      <c r="BV23" s="3"/>
      <c r="BW23" s="3"/>
      <c r="BX23" s="3"/>
      <c r="BY23" s="3"/>
      <c r="BZ23" s="3"/>
    </row>
    <row r="24" spans="1:78" s="3" customFormat="1" ht="16.149999999999999" customHeight="1" x14ac:dyDescent="0.2">
      <c r="A24" s="152" t="s">
        <v>42</v>
      </c>
      <c r="B24" s="152"/>
      <c r="C24" s="152"/>
      <c r="D24" s="152"/>
      <c r="E24" s="152"/>
      <c r="F24" s="153"/>
      <c r="G24" s="141" t="s">
        <v>43</v>
      </c>
      <c r="H24" s="142"/>
      <c r="I24" s="142"/>
      <c r="J24" s="142"/>
      <c r="K24" s="142"/>
      <c r="L24" s="142"/>
      <c r="M24" s="142"/>
      <c r="N24" s="142"/>
      <c r="O24" s="142"/>
      <c r="P24" s="142"/>
      <c r="Q24" s="142"/>
      <c r="R24" s="157"/>
      <c r="S24" s="141" t="s">
        <v>44</v>
      </c>
      <c r="T24" s="142"/>
      <c r="U24" s="142"/>
      <c r="V24" s="142"/>
      <c r="W24" s="142"/>
      <c r="X24" s="142"/>
      <c r="Y24" s="142"/>
      <c r="Z24" s="142"/>
      <c r="AA24" s="142"/>
      <c r="AB24" s="141" t="s">
        <v>45</v>
      </c>
      <c r="AC24" s="142"/>
      <c r="AD24" s="142"/>
      <c r="AE24" s="142"/>
      <c r="AF24" s="142"/>
      <c r="AG24" s="142"/>
      <c r="AH24" s="142"/>
      <c r="AI24" s="142"/>
      <c r="AJ24" s="142"/>
      <c r="AK24" s="141" t="s">
        <v>46</v>
      </c>
      <c r="AL24" s="142"/>
      <c r="AM24" s="142"/>
      <c r="AN24" s="142"/>
      <c r="AO24" s="142"/>
      <c r="AP24" s="142"/>
      <c r="AQ24" s="142"/>
      <c r="AR24" s="142"/>
      <c r="AS24" s="142"/>
      <c r="AT24" s="142"/>
      <c r="AU24" s="142"/>
      <c r="AV24" s="157"/>
      <c r="AW24" s="99" t="s">
        <v>47</v>
      </c>
      <c r="AX24" s="100"/>
      <c r="AY24" s="100"/>
      <c r="AZ24" s="100"/>
      <c r="BA24" s="100"/>
      <c r="BB24" s="100"/>
      <c r="BC24" s="100"/>
      <c r="BD24" s="100"/>
      <c r="BE24" s="100"/>
      <c r="BF24" s="100"/>
      <c r="BG24" s="100"/>
      <c r="BH24" s="100"/>
      <c r="BI24" s="100"/>
      <c r="BJ24" s="100"/>
      <c r="BK24" s="100"/>
      <c r="BL24" s="37"/>
      <c r="BM24" s="37"/>
    </row>
    <row r="25" spans="1:78" s="3" customFormat="1" ht="16.149999999999999" customHeight="1" x14ac:dyDescent="0.2">
      <c r="A25" s="145"/>
      <c r="B25" s="145"/>
      <c r="C25" s="145"/>
      <c r="D25" s="145"/>
      <c r="E25" s="145"/>
      <c r="F25" s="146"/>
      <c r="G25" s="260" t="s">
        <v>48</v>
      </c>
      <c r="H25" s="260"/>
      <c r="I25" s="260"/>
      <c r="J25" s="260" t="s">
        <v>49</v>
      </c>
      <c r="K25" s="260"/>
      <c r="L25" s="260"/>
      <c r="M25" s="260" t="s">
        <v>50</v>
      </c>
      <c r="N25" s="260"/>
      <c r="O25" s="260"/>
      <c r="P25" s="260" t="s">
        <v>51</v>
      </c>
      <c r="Q25" s="260"/>
      <c r="R25" s="260"/>
      <c r="S25" s="82" t="s">
        <v>52</v>
      </c>
      <c r="T25" s="83"/>
      <c r="U25" s="83"/>
      <c r="V25" s="82" t="s">
        <v>53</v>
      </c>
      <c r="W25" s="83"/>
      <c r="X25" s="83"/>
      <c r="Y25" s="82" t="s">
        <v>54</v>
      </c>
      <c r="Z25" s="83"/>
      <c r="AA25" s="83"/>
      <c r="AB25" s="82" t="s">
        <v>55</v>
      </c>
      <c r="AC25" s="83"/>
      <c r="AD25" s="140"/>
      <c r="AE25" s="82" t="s">
        <v>56</v>
      </c>
      <c r="AF25" s="83"/>
      <c r="AG25" s="140"/>
      <c r="AH25" s="82" t="s">
        <v>57</v>
      </c>
      <c r="AI25" s="83"/>
      <c r="AJ25" s="140"/>
      <c r="AK25" s="139" t="s">
        <v>58</v>
      </c>
      <c r="AL25" s="139"/>
      <c r="AM25" s="139"/>
      <c r="AN25" s="139" t="s">
        <v>59</v>
      </c>
      <c r="AO25" s="139"/>
      <c r="AP25" s="139"/>
      <c r="AQ25" s="143" t="s">
        <v>60</v>
      </c>
      <c r="AR25" s="143"/>
      <c r="AS25" s="143"/>
      <c r="AT25" s="141" t="s">
        <v>61</v>
      </c>
      <c r="AU25" s="142"/>
      <c r="AV25" s="157"/>
      <c r="AW25" s="139" t="s">
        <v>62</v>
      </c>
      <c r="AX25" s="139"/>
      <c r="AY25" s="139"/>
      <c r="AZ25" s="139" t="s">
        <v>63</v>
      </c>
      <c r="BA25" s="139"/>
      <c r="BB25" s="139"/>
      <c r="BC25" s="139" t="s">
        <v>64</v>
      </c>
      <c r="BD25" s="139"/>
      <c r="BE25" s="139"/>
      <c r="BF25" s="139" t="s">
        <v>65</v>
      </c>
      <c r="BG25" s="139"/>
      <c r="BH25" s="139"/>
      <c r="BI25" s="99" t="s">
        <v>47</v>
      </c>
      <c r="BJ25" s="100"/>
      <c r="BK25" s="101"/>
      <c r="BL25" s="37"/>
      <c r="BM25" s="37"/>
    </row>
    <row r="26" spans="1:78" s="3" customFormat="1" ht="16.149999999999999" customHeight="1" x14ac:dyDescent="0.2">
      <c r="A26" s="145"/>
      <c r="B26" s="145"/>
      <c r="C26" s="145"/>
      <c r="D26" s="145"/>
      <c r="E26" s="145"/>
      <c r="F26" s="146"/>
      <c r="G26" s="102" t="s">
        <v>41</v>
      </c>
      <c r="H26" s="103"/>
      <c r="I26" s="103"/>
      <c r="J26" s="102" t="s">
        <v>41</v>
      </c>
      <c r="K26" s="103"/>
      <c r="L26" s="103"/>
      <c r="M26" s="102" t="s">
        <v>41</v>
      </c>
      <c r="N26" s="103"/>
      <c r="O26" s="103"/>
      <c r="P26" s="102" t="s">
        <v>66</v>
      </c>
      <c r="Q26" s="103"/>
      <c r="R26" s="103"/>
      <c r="S26" s="102" t="s">
        <v>41</v>
      </c>
      <c r="T26" s="103"/>
      <c r="U26" s="103"/>
      <c r="V26" s="102" t="s">
        <v>41</v>
      </c>
      <c r="W26" s="103"/>
      <c r="X26" s="103"/>
      <c r="Y26" s="102" t="s">
        <v>41</v>
      </c>
      <c r="Z26" s="103"/>
      <c r="AA26" s="103"/>
      <c r="AB26" s="102" t="s">
        <v>41</v>
      </c>
      <c r="AC26" s="103"/>
      <c r="AD26" s="103"/>
      <c r="AE26" s="102" t="s">
        <v>41</v>
      </c>
      <c r="AF26" s="103"/>
      <c r="AG26" s="103"/>
      <c r="AH26" s="102" t="s">
        <v>41</v>
      </c>
      <c r="AI26" s="103"/>
      <c r="AJ26" s="103"/>
      <c r="AK26" s="102" t="s">
        <v>41</v>
      </c>
      <c r="AL26" s="103"/>
      <c r="AM26" s="103"/>
      <c r="AN26" s="102" t="s">
        <v>41</v>
      </c>
      <c r="AO26" s="103"/>
      <c r="AP26" s="103"/>
      <c r="AQ26" s="102" t="s">
        <v>66</v>
      </c>
      <c r="AR26" s="103"/>
      <c r="AS26" s="103"/>
      <c r="AT26" s="102" t="s">
        <v>66</v>
      </c>
      <c r="AU26" s="158"/>
      <c r="AV26" s="159"/>
      <c r="AW26" s="102" t="s">
        <v>41</v>
      </c>
      <c r="AX26" s="103"/>
      <c r="AY26" s="103"/>
      <c r="AZ26" s="102" t="s">
        <v>41</v>
      </c>
      <c r="BA26" s="103"/>
      <c r="BB26" s="103"/>
      <c r="BC26" s="102" t="s">
        <v>66</v>
      </c>
      <c r="BD26" s="103"/>
      <c r="BE26" s="103"/>
      <c r="BF26" s="102" t="s">
        <v>66</v>
      </c>
      <c r="BG26" s="103"/>
      <c r="BH26" s="103"/>
      <c r="BI26" s="102" t="s">
        <v>66</v>
      </c>
      <c r="BJ26" s="103"/>
      <c r="BK26" s="103"/>
      <c r="BL26" s="37"/>
      <c r="BM26" s="37"/>
    </row>
    <row r="27" spans="1:78" s="30" customFormat="1" ht="6.65" customHeight="1" x14ac:dyDescent="0.2">
      <c r="A27" s="28"/>
      <c r="B27" s="28"/>
      <c r="C27" s="28"/>
      <c r="D27" s="28"/>
      <c r="E27" s="28"/>
      <c r="F27" s="28"/>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7"/>
      <c r="BN27" s="3"/>
      <c r="BO27" s="3"/>
      <c r="BP27" s="3"/>
      <c r="BQ27" s="3"/>
      <c r="BR27" s="3"/>
      <c r="BS27" s="3"/>
      <c r="BT27" s="3"/>
      <c r="BU27" s="3"/>
      <c r="BV27" s="3"/>
      <c r="BW27" s="3"/>
      <c r="BX27" s="3"/>
      <c r="BY27" s="3"/>
      <c r="BZ27" s="3"/>
    </row>
    <row r="28" spans="1:78" s="3" customFormat="1" ht="16.149999999999999" customHeight="1" x14ac:dyDescent="0.2">
      <c r="A28" s="152" t="s">
        <v>67</v>
      </c>
      <c r="B28" s="152"/>
      <c r="C28" s="152"/>
      <c r="D28" s="152"/>
      <c r="E28" s="152"/>
      <c r="F28" s="153"/>
      <c r="G28" s="82" t="s">
        <v>68</v>
      </c>
      <c r="H28" s="83"/>
      <c r="I28" s="83"/>
      <c r="J28" s="83"/>
      <c r="K28" s="83"/>
      <c r="L28" s="82" t="s">
        <v>69</v>
      </c>
      <c r="M28" s="83"/>
      <c r="N28" s="83"/>
      <c r="O28" s="83"/>
      <c r="P28" s="140"/>
      <c r="Q28" s="82" t="s">
        <v>70</v>
      </c>
      <c r="R28" s="83"/>
      <c r="S28" s="83"/>
      <c r="T28" s="83"/>
      <c r="U28" s="140"/>
      <c r="V28" s="82" t="s">
        <v>71</v>
      </c>
      <c r="W28" s="83"/>
      <c r="X28" s="83"/>
      <c r="Y28" s="83"/>
      <c r="Z28" s="140"/>
      <c r="AA28" s="82" t="s">
        <v>72</v>
      </c>
      <c r="AB28" s="83"/>
      <c r="AC28" s="83"/>
      <c r="AD28" s="83"/>
      <c r="AE28" s="140"/>
      <c r="AF28" s="82" t="s">
        <v>73</v>
      </c>
      <c r="AG28" s="83"/>
      <c r="AH28" s="83"/>
      <c r="AI28" s="83"/>
      <c r="AJ28" s="140"/>
      <c r="AK28" s="82" t="s">
        <v>74</v>
      </c>
      <c r="AL28" s="83"/>
      <c r="AM28" s="83"/>
      <c r="AN28" s="83"/>
      <c r="AO28" s="83"/>
      <c r="AP28" s="82" t="s">
        <v>75</v>
      </c>
      <c r="AQ28" s="83"/>
      <c r="AR28" s="83"/>
      <c r="AS28" s="83"/>
      <c r="AT28" s="140"/>
      <c r="AU28" s="82" t="s">
        <v>76</v>
      </c>
      <c r="AV28" s="83"/>
      <c r="AW28" s="83"/>
      <c r="AX28" s="83"/>
      <c r="AY28" s="83"/>
      <c r="BE28" s="29"/>
      <c r="BF28" s="29"/>
      <c r="BG28" s="29"/>
      <c r="BH28" s="29"/>
      <c r="BI28" s="29"/>
      <c r="BJ28" s="29"/>
      <c r="BK28" s="29"/>
      <c r="BL28" s="29"/>
      <c r="BM28" s="37"/>
    </row>
    <row r="29" spans="1:78" s="3" customFormat="1" ht="16" x14ac:dyDescent="0.2">
      <c r="A29" s="147"/>
      <c r="B29" s="147"/>
      <c r="C29" s="147"/>
      <c r="D29" s="147"/>
      <c r="E29" s="147"/>
      <c r="F29" s="148"/>
      <c r="G29" s="84" t="s">
        <v>41</v>
      </c>
      <c r="H29" s="85"/>
      <c r="I29" s="85"/>
      <c r="J29" s="85"/>
      <c r="K29" s="86"/>
      <c r="L29" s="84" t="s">
        <v>40</v>
      </c>
      <c r="M29" s="85"/>
      <c r="N29" s="85"/>
      <c r="O29" s="85"/>
      <c r="P29" s="86"/>
      <c r="Q29" s="84" t="s">
        <v>40</v>
      </c>
      <c r="R29" s="85"/>
      <c r="S29" s="85"/>
      <c r="T29" s="85"/>
      <c r="U29" s="86"/>
      <c r="V29" s="84" t="s">
        <v>40</v>
      </c>
      <c r="W29" s="85"/>
      <c r="X29" s="85"/>
      <c r="Y29" s="85"/>
      <c r="Z29" s="86"/>
      <c r="AA29" s="84" t="s">
        <v>40</v>
      </c>
      <c r="AB29" s="85"/>
      <c r="AC29" s="85"/>
      <c r="AD29" s="85"/>
      <c r="AE29" s="86"/>
      <c r="AF29" s="84" t="s">
        <v>40</v>
      </c>
      <c r="AG29" s="85"/>
      <c r="AH29" s="85"/>
      <c r="AI29" s="85"/>
      <c r="AJ29" s="86"/>
      <c r="AK29" s="84" t="s">
        <v>40</v>
      </c>
      <c r="AL29" s="85"/>
      <c r="AM29" s="85"/>
      <c r="AN29" s="85"/>
      <c r="AO29" s="86"/>
      <c r="AP29" s="84" t="s">
        <v>66</v>
      </c>
      <c r="AQ29" s="85"/>
      <c r="AR29" s="85"/>
      <c r="AS29" s="85"/>
      <c r="AT29" s="86"/>
      <c r="AU29" s="84" t="s">
        <v>66</v>
      </c>
      <c r="AV29" s="85"/>
      <c r="AW29" s="85"/>
      <c r="AX29" s="85"/>
      <c r="AY29" s="86"/>
      <c r="BM29" s="37"/>
    </row>
    <row r="30" spans="1:78" s="30" customFormat="1" ht="6.65" customHeight="1" x14ac:dyDescent="0.2">
      <c r="A30" s="28"/>
      <c r="B30" s="28"/>
      <c r="C30" s="28"/>
      <c r="D30" s="28"/>
      <c r="E30" s="28"/>
      <c r="F30" s="28"/>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3"/>
      <c r="BA30" s="3"/>
      <c r="BB30" s="3"/>
      <c r="BC30" s="3"/>
      <c r="BD30" s="3"/>
      <c r="BE30" s="3"/>
      <c r="BF30" s="3"/>
      <c r="BG30" s="35"/>
      <c r="BH30" s="35"/>
      <c r="BI30" s="35"/>
      <c r="BJ30" s="35"/>
      <c r="BK30" s="3"/>
      <c r="BL30" s="3"/>
      <c r="BM30" s="37"/>
      <c r="BN30" s="3"/>
      <c r="BO30" s="3"/>
      <c r="BP30" s="3"/>
      <c r="BQ30" s="3"/>
      <c r="BR30" s="3"/>
      <c r="BS30" s="3"/>
      <c r="BT30" s="3"/>
      <c r="BU30" s="3"/>
      <c r="BV30" s="3"/>
      <c r="BW30" s="3"/>
      <c r="BX30" s="3"/>
      <c r="BY30" s="3"/>
      <c r="BZ30" s="3"/>
    </row>
    <row r="31" spans="1:78" s="50" customFormat="1" ht="16.149999999999999" customHeight="1" x14ac:dyDescent="0.2">
      <c r="A31" s="152" t="s">
        <v>77</v>
      </c>
      <c r="B31" s="152"/>
      <c r="C31" s="152"/>
      <c r="D31" s="152"/>
      <c r="E31" s="152"/>
      <c r="F31" s="153"/>
      <c r="G31" s="154" t="s">
        <v>78</v>
      </c>
      <c r="H31" s="155"/>
      <c r="I31" s="155"/>
      <c r="J31" s="155"/>
      <c r="K31" s="155"/>
      <c r="L31" s="155"/>
      <c r="M31" s="155"/>
      <c r="N31" s="155"/>
      <c r="O31" s="156"/>
      <c r="P31" s="154" t="s">
        <v>79</v>
      </c>
      <c r="Q31" s="155"/>
      <c r="R31" s="155"/>
      <c r="S31" s="155"/>
      <c r="T31" s="155"/>
      <c r="U31" s="155"/>
      <c r="V31" s="155"/>
      <c r="W31" s="155"/>
      <c r="X31" s="155"/>
      <c r="Y31" s="155"/>
      <c r="Z31" s="155"/>
      <c r="AA31" s="156"/>
      <c r="AB31" s="99" t="s">
        <v>80</v>
      </c>
      <c r="AC31" s="100"/>
      <c r="AD31" s="100"/>
      <c r="AE31" s="100"/>
      <c r="AF31" s="100"/>
      <c r="AG31" s="100"/>
      <c r="AH31" s="100"/>
      <c r="AI31" s="100"/>
      <c r="AJ31" s="101"/>
      <c r="AK31" s="154" t="s">
        <v>81</v>
      </c>
      <c r="AL31" s="155"/>
      <c r="AM31" s="155"/>
      <c r="AN31" s="155"/>
      <c r="AO31" s="155"/>
      <c r="AP31" s="155"/>
      <c r="AQ31" s="155"/>
      <c r="AR31" s="155"/>
      <c r="AS31" s="155"/>
      <c r="AT31" s="155"/>
      <c r="AU31" s="155"/>
      <c r="AV31" s="156"/>
      <c r="AW31" s="99" t="s">
        <v>82</v>
      </c>
      <c r="AX31" s="100"/>
      <c r="AY31" s="100"/>
      <c r="AZ31" s="100"/>
      <c r="BA31" s="100"/>
      <c r="BB31" s="100"/>
      <c r="BC31" s="100"/>
      <c r="BD31" s="100"/>
      <c r="BE31" s="100"/>
      <c r="BF31" s="100"/>
      <c r="BG31" s="100"/>
      <c r="BH31" s="100"/>
      <c r="BI31" s="100"/>
      <c r="BJ31" s="100"/>
      <c r="BK31" s="100"/>
    </row>
    <row r="32" spans="1:78" s="50" customFormat="1" ht="16.149999999999999" customHeight="1" x14ac:dyDescent="0.2">
      <c r="A32" s="145"/>
      <c r="B32" s="145"/>
      <c r="C32" s="145"/>
      <c r="D32" s="145"/>
      <c r="E32" s="145"/>
      <c r="F32" s="146"/>
      <c r="G32" s="144" t="s">
        <v>83</v>
      </c>
      <c r="H32" s="144"/>
      <c r="I32" s="144"/>
      <c r="J32" s="144" t="s">
        <v>84</v>
      </c>
      <c r="K32" s="144"/>
      <c r="L32" s="144"/>
      <c r="M32" s="144" t="s">
        <v>85</v>
      </c>
      <c r="N32" s="144"/>
      <c r="O32" s="144"/>
      <c r="P32" s="144" t="s">
        <v>86</v>
      </c>
      <c r="Q32" s="144"/>
      <c r="R32" s="144"/>
      <c r="S32" s="144" t="s">
        <v>87</v>
      </c>
      <c r="T32" s="144"/>
      <c r="U32" s="144"/>
      <c r="V32" s="144" t="s">
        <v>88</v>
      </c>
      <c r="W32" s="144"/>
      <c r="X32" s="144"/>
      <c r="Y32" s="144" t="s">
        <v>89</v>
      </c>
      <c r="Z32" s="144"/>
      <c r="AA32" s="144"/>
      <c r="AB32" s="144" t="s">
        <v>90</v>
      </c>
      <c r="AC32" s="144"/>
      <c r="AD32" s="144"/>
      <c r="AE32" s="144" t="s">
        <v>91</v>
      </c>
      <c r="AF32" s="144"/>
      <c r="AG32" s="144"/>
      <c r="AH32" s="144" t="s">
        <v>92</v>
      </c>
      <c r="AI32" s="144"/>
      <c r="AJ32" s="144"/>
      <c r="AK32" s="144" t="s">
        <v>93</v>
      </c>
      <c r="AL32" s="144"/>
      <c r="AM32" s="144"/>
      <c r="AN32" s="144" t="s">
        <v>94</v>
      </c>
      <c r="AO32" s="144"/>
      <c r="AP32" s="144"/>
      <c r="AQ32" s="144" t="s">
        <v>95</v>
      </c>
      <c r="AR32" s="144"/>
      <c r="AS32" s="144"/>
      <c r="AT32" s="99" t="s">
        <v>47</v>
      </c>
      <c r="AU32" s="100"/>
      <c r="AV32" s="101"/>
      <c r="AW32" s="144" t="s">
        <v>96</v>
      </c>
      <c r="AX32" s="144"/>
      <c r="AY32" s="144"/>
      <c r="AZ32" s="144" t="s">
        <v>97</v>
      </c>
      <c r="BA32" s="144"/>
      <c r="BB32" s="144"/>
      <c r="BC32" s="144" t="s">
        <v>98</v>
      </c>
      <c r="BD32" s="144"/>
      <c r="BE32" s="144"/>
      <c r="BF32" s="99" t="s">
        <v>99</v>
      </c>
      <c r="BG32" s="100"/>
      <c r="BH32" s="101"/>
      <c r="BI32" s="99" t="s">
        <v>47</v>
      </c>
      <c r="BJ32" s="100"/>
      <c r="BK32" s="101"/>
    </row>
    <row r="33" spans="1:78" s="3" customFormat="1" ht="16" x14ac:dyDescent="0.2">
      <c r="A33" s="147"/>
      <c r="B33" s="147"/>
      <c r="C33" s="147"/>
      <c r="D33" s="147"/>
      <c r="E33" s="147"/>
      <c r="F33" s="148"/>
      <c r="G33" s="102" t="s">
        <v>41</v>
      </c>
      <c r="H33" s="103"/>
      <c r="I33" s="103"/>
      <c r="J33" s="102" t="s">
        <v>41</v>
      </c>
      <c r="K33" s="103"/>
      <c r="L33" s="103"/>
      <c r="M33" s="102" t="s">
        <v>41</v>
      </c>
      <c r="N33" s="103"/>
      <c r="O33" s="103"/>
      <c r="P33" s="102" t="s">
        <v>41</v>
      </c>
      <c r="Q33" s="103"/>
      <c r="R33" s="103"/>
      <c r="S33" s="102" t="s">
        <v>41</v>
      </c>
      <c r="T33" s="103"/>
      <c r="U33" s="103"/>
      <c r="V33" s="102" t="s">
        <v>41</v>
      </c>
      <c r="W33" s="103"/>
      <c r="X33" s="103"/>
      <c r="Y33" s="102" t="s">
        <v>41</v>
      </c>
      <c r="Z33" s="103"/>
      <c r="AA33" s="103"/>
      <c r="AB33" s="102" t="s">
        <v>41</v>
      </c>
      <c r="AC33" s="103"/>
      <c r="AD33" s="103"/>
      <c r="AE33" s="102" t="s">
        <v>41</v>
      </c>
      <c r="AF33" s="103"/>
      <c r="AG33" s="103"/>
      <c r="AH33" s="102" t="s">
        <v>66</v>
      </c>
      <c r="AI33" s="103"/>
      <c r="AJ33" s="103"/>
      <c r="AK33" s="102" t="s">
        <v>41</v>
      </c>
      <c r="AL33" s="103"/>
      <c r="AM33" s="103"/>
      <c r="AN33" s="102" t="s">
        <v>41</v>
      </c>
      <c r="AO33" s="103"/>
      <c r="AP33" s="103"/>
      <c r="AQ33" s="102" t="s">
        <v>41</v>
      </c>
      <c r="AR33" s="103"/>
      <c r="AS33" s="103"/>
      <c r="AT33" s="102" t="s">
        <v>41</v>
      </c>
      <c r="AU33" s="158"/>
      <c r="AV33" s="159"/>
      <c r="AW33" s="102" t="s">
        <v>41</v>
      </c>
      <c r="AX33" s="103"/>
      <c r="AY33" s="103"/>
      <c r="AZ33" s="102" t="s">
        <v>41</v>
      </c>
      <c r="BA33" s="103"/>
      <c r="BB33" s="103"/>
      <c r="BC33" s="102" t="s">
        <v>41</v>
      </c>
      <c r="BD33" s="103"/>
      <c r="BE33" s="103"/>
      <c r="BF33" s="102" t="s">
        <v>41</v>
      </c>
      <c r="BG33" s="103"/>
      <c r="BH33" s="103"/>
      <c r="BI33" s="102" t="s">
        <v>41</v>
      </c>
      <c r="BJ33" s="103"/>
      <c r="BK33" s="103"/>
      <c r="BL33" s="37"/>
      <c r="BM33" s="37"/>
    </row>
    <row r="34" spans="1:78" s="3" customFormat="1" ht="16" x14ac:dyDescent="0.2">
      <c r="AC34" s="10"/>
      <c r="AD34" s="10"/>
      <c r="AE34" s="10"/>
      <c r="AF34" s="10"/>
      <c r="AG34" s="10"/>
      <c r="AH34" s="10"/>
      <c r="AI34" s="10"/>
      <c r="AJ34" s="10"/>
      <c r="AK34" s="10"/>
      <c r="AL34" s="10"/>
      <c r="AM34" s="10"/>
      <c r="AN34" s="10"/>
      <c r="AO34" s="10"/>
      <c r="AT34" s="1"/>
      <c r="AU34" s="1"/>
      <c r="AV34" s="1"/>
      <c r="AW34" s="1"/>
      <c r="AX34" s="1"/>
      <c r="AY34" s="1"/>
      <c r="AZ34" s="1"/>
      <c r="BA34" s="1"/>
      <c r="BB34" s="1"/>
      <c r="BC34" s="1"/>
      <c r="BD34" s="1"/>
      <c r="BE34" s="1"/>
      <c r="BF34" s="1"/>
      <c r="BM34" s="1"/>
      <c r="BN34" s="1"/>
    </row>
    <row r="35" spans="1:78" s="3" customFormat="1" ht="15" customHeight="1" x14ac:dyDescent="0.2">
      <c r="F35" s="1"/>
      <c r="G35" s="1"/>
      <c r="H35" s="1"/>
      <c r="I35" s="1"/>
      <c r="J35" s="1"/>
      <c r="K35" s="1"/>
      <c r="L35" s="1"/>
      <c r="M35" s="1"/>
      <c r="N35" s="1"/>
      <c r="BM35" s="1"/>
    </row>
    <row r="36" spans="1:78" s="3" customFormat="1" ht="20" thickBot="1" x14ac:dyDescent="0.25">
      <c r="A36" s="11" t="s">
        <v>100</v>
      </c>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6"/>
      <c r="AY36" s="16"/>
      <c r="AZ36" s="16"/>
      <c r="BA36" s="16"/>
      <c r="BB36" s="13"/>
      <c r="BL36" s="13"/>
      <c r="BM36" s="1"/>
    </row>
    <row r="37" spans="1:78" s="3" customFormat="1" ht="18.649999999999999" customHeight="1" x14ac:dyDescent="0.2">
      <c r="A37" s="225" t="s">
        <v>101</v>
      </c>
      <c r="B37" s="226"/>
      <c r="C37" s="231" t="s">
        <v>102</v>
      </c>
      <c r="D37" s="232"/>
      <c r="E37" s="232"/>
      <c r="F37" s="233"/>
      <c r="G37" s="87" t="s">
        <v>42</v>
      </c>
      <c r="H37" s="88"/>
      <c r="I37" s="261"/>
      <c r="J37" s="231" t="s">
        <v>103</v>
      </c>
      <c r="K37" s="232"/>
      <c r="L37" s="232"/>
      <c r="M37" s="232"/>
      <c r="N37" s="232"/>
      <c r="O37" s="233"/>
      <c r="P37" s="231" t="s">
        <v>104</v>
      </c>
      <c r="Q37" s="232"/>
      <c r="R37" s="233"/>
      <c r="S37" s="264" t="s">
        <v>105</v>
      </c>
      <c r="T37" s="265"/>
      <c r="U37" s="266"/>
      <c r="V37" s="231" t="s">
        <v>106</v>
      </c>
      <c r="W37" s="88"/>
      <c r="X37" s="88"/>
      <c r="Y37" s="88"/>
      <c r="Z37" s="88"/>
      <c r="AA37" s="88"/>
      <c r="AB37" s="88"/>
      <c r="AC37" s="88"/>
      <c r="AD37" s="88"/>
      <c r="AE37" s="88"/>
      <c r="AF37" s="88"/>
      <c r="AG37" s="88"/>
      <c r="AH37" s="88"/>
      <c r="AI37" s="88"/>
      <c r="AJ37" s="88"/>
      <c r="AK37" s="88"/>
      <c r="AL37" s="88"/>
      <c r="AM37" s="261"/>
      <c r="AN37" s="231" t="s">
        <v>107</v>
      </c>
      <c r="AO37" s="232"/>
      <c r="AP37" s="232"/>
      <c r="AQ37" s="232"/>
      <c r="AR37" s="232"/>
      <c r="AS37" s="232"/>
      <c r="AT37" s="233"/>
      <c r="AU37" s="277" t="s">
        <v>108</v>
      </c>
      <c r="AV37" s="279"/>
      <c r="AW37" s="277" t="s">
        <v>109</v>
      </c>
      <c r="AX37" s="278"/>
      <c r="AY37" s="278"/>
      <c r="AZ37" s="278"/>
      <c r="BA37" s="278"/>
      <c r="BB37" s="278"/>
      <c r="BC37" s="278"/>
      <c r="BD37" s="278"/>
      <c r="BE37" s="278"/>
      <c r="BF37" s="278"/>
      <c r="BG37" s="87" t="s">
        <v>110</v>
      </c>
      <c r="BH37" s="88"/>
      <c r="BI37" s="88"/>
      <c r="BJ37" s="88"/>
      <c r="BK37" s="88"/>
      <c r="BL37" s="89"/>
      <c r="BM37" s="1"/>
      <c r="BO37" s="297" t="s">
        <v>31</v>
      </c>
      <c r="BP37" s="297"/>
      <c r="BQ37" s="297"/>
      <c r="BR37" s="297" t="s">
        <v>24</v>
      </c>
      <c r="BS37" s="297"/>
      <c r="BT37" s="297"/>
      <c r="BU37" s="297"/>
      <c r="BV37" s="297"/>
      <c r="BW37" s="297"/>
      <c r="BX37" s="38"/>
      <c r="BY37" s="41"/>
      <c r="BZ37" s="42"/>
    </row>
    <row r="38" spans="1:78" s="14" customFormat="1" ht="88.15" customHeight="1" x14ac:dyDescent="0.2">
      <c r="A38" s="227"/>
      <c r="B38" s="228"/>
      <c r="C38" s="234"/>
      <c r="D38" s="235"/>
      <c r="E38" s="235"/>
      <c r="F38" s="236"/>
      <c r="G38" s="90"/>
      <c r="H38" s="91"/>
      <c r="I38" s="262"/>
      <c r="J38" s="234"/>
      <c r="K38" s="235"/>
      <c r="L38" s="235"/>
      <c r="M38" s="235"/>
      <c r="N38" s="235"/>
      <c r="O38" s="236"/>
      <c r="P38" s="234"/>
      <c r="Q38" s="235"/>
      <c r="R38" s="236"/>
      <c r="S38" s="267"/>
      <c r="T38" s="268"/>
      <c r="U38" s="269"/>
      <c r="V38" s="90"/>
      <c r="W38" s="91"/>
      <c r="X38" s="91"/>
      <c r="Y38" s="91"/>
      <c r="Z38" s="91"/>
      <c r="AA38" s="91"/>
      <c r="AB38" s="91"/>
      <c r="AC38" s="91"/>
      <c r="AD38" s="91"/>
      <c r="AE38" s="91"/>
      <c r="AF38" s="91"/>
      <c r="AG38" s="91"/>
      <c r="AH38" s="91"/>
      <c r="AI38" s="91"/>
      <c r="AJ38" s="91"/>
      <c r="AK38" s="91"/>
      <c r="AL38" s="91"/>
      <c r="AM38" s="262"/>
      <c r="AN38" s="234"/>
      <c r="AO38" s="235"/>
      <c r="AP38" s="235"/>
      <c r="AQ38" s="235"/>
      <c r="AR38" s="235"/>
      <c r="AS38" s="235"/>
      <c r="AT38" s="236"/>
      <c r="AU38" s="275" t="s">
        <v>32</v>
      </c>
      <c r="AV38" s="254" t="s">
        <v>33</v>
      </c>
      <c r="AW38" s="273" t="s">
        <v>111</v>
      </c>
      <c r="AX38" s="275" t="s">
        <v>112</v>
      </c>
      <c r="AY38" s="275" t="s">
        <v>113</v>
      </c>
      <c r="AZ38" s="275" t="s">
        <v>114</v>
      </c>
      <c r="BA38" s="275" t="s">
        <v>115</v>
      </c>
      <c r="BB38" s="275" t="s">
        <v>116</v>
      </c>
      <c r="BC38" s="275" t="s">
        <v>117</v>
      </c>
      <c r="BD38" s="275" t="s">
        <v>118</v>
      </c>
      <c r="BE38" s="275" t="s">
        <v>119</v>
      </c>
      <c r="BF38" s="254" t="s">
        <v>120</v>
      </c>
      <c r="BG38" s="90"/>
      <c r="BH38" s="91"/>
      <c r="BI38" s="91"/>
      <c r="BJ38" s="91"/>
      <c r="BK38" s="91"/>
      <c r="BL38" s="92"/>
      <c r="BM38" s="1"/>
      <c r="BO38" s="43" t="s">
        <v>121</v>
      </c>
      <c r="BP38" s="44" t="s">
        <v>32</v>
      </c>
      <c r="BQ38" s="45" t="s">
        <v>33</v>
      </c>
      <c r="BR38" s="43" t="str">
        <f>G15</f>
        <v>企画</v>
      </c>
      <c r="BS38" s="44" t="s">
        <v>122</v>
      </c>
      <c r="BT38" s="44" t="s">
        <v>123</v>
      </c>
      <c r="BU38" s="44" t="str">
        <f>AH15</f>
        <v>テスト管理</v>
      </c>
      <c r="BV38" s="44" t="str">
        <f>AQ15</f>
        <v>設計</v>
      </c>
      <c r="BW38" s="45" t="str">
        <f>AZ15</f>
        <v>PG開発</v>
      </c>
      <c r="BX38" s="38"/>
      <c r="BY38" s="295" t="s">
        <v>124</v>
      </c>
      <c r="BZ38" s="296"/>
    </row>
    <row r="39" spans="1:78" s="14" customFormat="1" ht="18.649999999999999" customHeight="1" thickBot="1" x14ac:dyDescent="0.25">
      <c r="A39" s="229"/>
      <c r="B39" s="230"/>
      <c r="C39" s="237"/>
      <c r="D39" s="238"/>
      <c r="E39" s="238"/>
      <c r="F39" s="239"/>
      <c r="G39" s="93"/>
      <c r="H39" s="94"/>
      <c r="I39" s="263"/>
      <c r="J39" s="237"/>
      <c r="K39" s="238"/>
      <c r="L39" s="238"/>
      <c r="M39" s="238"/>
      <c r="N39" s="238"/>
      <c r="O39" s="239"/>
      <c r="P39" s="237"/>
      <c r="Q39" s="238"/>
      <c r="R39" s="239"/>
      <c r="S39" s="270"/>
      <c r="T39" s="271"/>
      <c r="U39" s="272"/>
      <c r="V39" s="93"/>
      <c r="W39" s="94"/>
      <c r="X39" s="94"/>
      <c r="Y39" s="94"/>
      <c r="Z39" s="94"/>
      <c r="AA39" s="94"/>
      <c r="AB39" s="94"/>
      <c r="AC39" s="94"/>
      <c r="AD39" s="94"/>
      <c r="AE39" s="94"/>
      <c r="AF39" s="94"/>
      <c r="AG39" s="94"/>
      <c r="AH39" s="94"/>
      <c r="AI39" s="94"/>
      <c r="AJ39" s="94"/>
      <c r="AK39" s="94"/>
      <c r="AL39" s="94"/>
      <c r="AM39" s="263"/>
      <c r="AN39" s="237"/>
      <c r="AO39" s="238"/>
      <c r="AP39" s="238"/>
      <c r="AQ39" s="238"/>
      <c r="AR39" s="238"/>
      <c r="AS39" s="238"/>
      <c r="AT39" s="239"/>
      <c r="AU39" s="276"/>
      <c r="AV39" s="255"/>
      <c r="AW39" s="274"/>
      <c r="AX39" s="276"/>
      <c r="AY39" s="276"/>
      <c r="AZ39" s="276"/>
      <c r="BA39" s="276"/>
      <c r="BB39" s="276"/>
      <c r="BC39" s="276"/>
      <c r="BD39" s="276"/>
      <c r="BE39" s="276"/>
      <c r="BF39" s="255"/>
      <c r="BG39" s="93"/>
      <c r="BH39" s="94"/>
      <c r="BI39" s="94"/>
      <c r="BJ39" s="94"/>
      <c r="BK39" s="94"/>
      <c r="BL39" s="95"/>
      <c r="BM39" s="1"/>
      <c r="BO39" s="46" t="e">
        <f t="shared" ref="BO39:BW39" si="0">SUM(BO40:BO171)</f>
        <v>#REF!</v>
      </c>
      <c r="BP39" s="47">
        <f t="shared" si="0"/>
        <v>197</v>
      </c>
      <c r="BQ39" s="48">
        <f t="shared" si="0"/>
        <v>200</v>
      </c>
      <c r="BR39" s="46">
        <f t="shared" si="0"/>
        <v>47</v>
      </c>
      <c r="BS39" s="47">
        <f t="shared" si="0"/>
        <v>10</v>
      </c>
      <c r="BT39" s="47">
        <f t="shared" si="0"/>
        <v>97</v>
      </c>
      <c r="BU39" s="47">
        <f t="shared" si="0"/>
        <v>83</v>
      </c>
      <c r="BV39" s="47">
        <f t="shared" si="0"/>
        <v>90</v>
      </c>
      <c r="BW39" s="48">
        <f t="shared" si="0"/>
        <v>64</v>
      </c>
      <c r="BX39" s="38"/>
      <c r="BY39" s="39" t="e">
        <f>SUM(BO39:BQ39)</f>
        <v>#REF!</v>
      </c>
      <c r="BZ39" s="40"/>
    </row>
    <row r="40" spans="1:78" s="3" customFormat="1" ht="18.649999999999999" customHeight="1" x14ac:dyDescent="0.2">
      <c r="A40" s="209">
        <v>44</v>
      </c>
      <c r="B40" s="210"/>
      <c r="C40" s="206">
        <v>46023</v>
      </c>
      <c r="D40" s="207"/>
      <c r="E40" s="207"/>
      <c r="F40" s="208"/>
      <c r="G40" s="112" t="s">
        <v>137</v>
      </c>
      <c r="H40" s="113"/>
      <c r="I40" s="113"/>
      <c r="J40" s="189" t="s">
        <v>284</v>
      </c>
      <c r="K40" s="190"/>
      <c r="L40" s="190"/>
      <c r="M40" s="190"/>
      <c r="N40" s="190"/>
      <c r="O40" s="191"/>
      <c r="P40" s="203">
        <v>15</v>
      </c>
      <c r="Q40" s="204"/>
      <c r="R40" s="205"/>
      <c r="S40" s="201" t="s">
        <v>282</v>
      </c>
      <c r="T40" s="201"/>
      <c r="U40" s="201"/>
      <c r="V40" s="283" t="s">
        <v>285</v>
      </c>
      <c r="W40" s="284"/>
      <c r="X40" s="284"/>
      <c r="Y40" s="284"/>
      <c r="Z40" s="284"/>
      <c r="AA40" s="284"/>
      <c r="AB40" s="284"/>
      <c r="AC40" s="284"/>
      <c r="AD40" s="284"/>
      <c r="AE40" s="284"/>
      <c r="AF40" s="284"/>
      <c r="AG40" s="284"/>
      <c r="AH40" s="284"/>
      <c r="AI40" s="284"/>
      <c r="AJ40" s="284"/>
      <c r="AK40" s="284"/>
      <c r="AL40" s="284"/>
      <c r="AM40" s="285"/>
      <c r="AN40" s="198" t="s">
        <v>283</v>
      </c>
      <c r="AO40" s="199"/>
      <c r="AP40" s="199"/>
      <c r="AQ40" s="199"/>
      <c r="AR40" s="199"/>
      <c r="AS40" s="199"/>
      <c r="AT40" s="199"/>
      <c r="AU40" s="259"/>
      <c r="AV40" s="257" t="s">
        <v>41</v>
      </c>
      <c r="AW40" s="256" t="s">
        <v>40</v>
      </c>
      <c r="AX40" s="259"/>
      <c r="AY40" s="259"/>
      <c r="AZ40" s="259"/>
      <c r="BA40" s="259"/>
      <c r="BB40" s="259"/>
      <c r="BC40" s="259"/>
      <c r="BD40" s="259"/>
      <c r="BE40" s="259"/>
      <c r="BF40" s="257" t="s">
        <v>40</v>
      </c>
      <c r="BG40" s="96" t="s">
        <v>281</v>
      </c>
      <c r="BH40" s="97"/>
      <c r="BI40" s="97"/>
      <c r="BJ40" s="97"/>
      <c r="BK40" s="97"/>
      <c r="BL40" s="98"/>
      <c r="BM40" s="1"/>
      <c r="BO40" s="74" t="e">
        <f>IF(#REF!="●",SUM(DATEDIF($C40,$C41,"M"),1),"")</f>
        <v>#REF!</v>
      </c>
      <c r="BP40" s="75" t="str">
        <f>IF(AU40="●",SUM(DATEDIF($C40,$C41,"M"),1),"")</f>
        <v/>
      </c>
      <c r="BQ40" s="54">
        <f>IF(AV40="●",SUM(DATEDIF($C40,$C41,"M"),1),"")</f>
        <v>6</v>
      </c>
      <c r="BR40" s="74" t="str">
        <f>IF(BR$38=$S40,SUM(DATEDIF($C40,$C41,"M"),1),"")</f>
        <v/>
      </c>
      <c r="BS40" s="75" t="str">
        <f t="shared" ref="BS40:BW40" si="1">IF(BS$38=$S40,SUM(DATEDIF($C40,$C41,"M"),1),"")</f>
        <v/>
      </c>
      <c r="BT40" s="75" t="str">
        <f t="shared" si="1"/>
        <v/>
      </c>
      <c r="BU40" s="75" t="str">
        <f t="shared" si="1"/>
        <v/>
      </c>
      <c r="BV40" s="75" t="str">
        <f t="shared" si="1"/>
        <v/>
      </c>
      <c r="BW40" s="54" t="str">
        <f t="shared" si="1"/>
        <v/>
      </c>
      <c r="BX40" s="38"/>
      <c r="BY40" s="55">
        <f>SUM(BR40:BW42)</f>
        <v>0</v>
      </c>
      <c r="BZ40" s="55" t="str">
        <f>C42</f>
        <v>&lt;6ヶ月&gt;</v>
      </c>
    </row>
    <row r="41" spans="1:78" s="3" customFormat="1" ht="18.649999999999999" customHeight="1" x14ac:dyDescent="0.2">
      <c r="A41" s="137"/>
      <c r="B41" s="138"/>
      <c r="C41" s="56">
        <v>46203</v>
      </c>
      <c r="D41" s="57"/>
      <c r="E41" s="57"/>
      <c r="F41" s="58"/>
      <c r="G41" s="114"/>
      <c r="H41" s="114"/>
      <c r="I41" s="114"/>
      <c r="J41" s="115"/>
      <c r="K41" s="116"/>
      <c r="L41" s="116"/>
      <c r="M41" s="116"/>
      <c r="N41" s="116"/>
      <c r="O41" s="117"/>
      <c r="P41" s="121"/>
      <c r="Q41" s="122"/>
      <c r="R41" s="123"/>
      <c r="S41" s="128"/>
      <c r="T41" s="128"/>
      <c r="U41" s="128"/>
      <c r="V41" s="129"/>
      <c r="W41" s="130"/>
      <c r="X41" s="130"/>
      <c r="Y41" s="130"/>
      <c r="Z41" s="130"/>
      <c r="AA41" s="130"/>
      <c r="AB41" s="130"/>
      <c r="AC41" s="130"/>
      <c r="AD41" s="130"/>
      <c r="AE41" s="130"/>
      <c r="AF41" s="130"/>
      <c r="AG41" s="130"/>
      <c r="AH41" s="130"/>
      <c r="AI41" s="130"/>
      <c r="AJ41" s="130"/>
      <c r="AK41" s="130"/>
      <c r="AL41" s="130"/>
      <c r="AM41" s="131"/>
      <c r="AN41" s="114"/>
      <c r="AO41" s="114"/>
      <c r="AP41" s="114"/>
      <c r="AQ41" s="114"/>
      <c r="AR41" s="114"/>
      <c r="AS41" s="114"/>
      <c r="AT41" s="114"/>
      <c r="AU41" s="62"/>
      <c r="AV41" s="63"/>
      <c r="AW41" s="64"/>
      <c r="AX41" s="62"/>
      <c r="AY41" s="62"/>
      <c r="AZ41" s="62"/>
      <c r="BA41" s="62"/>
      <c r="BB41" s="62"/>
      <c r="BC41" s="62"/>
      <c r="BD41" s="62"/>
      <c r="BE41" s="62"/>
      <c r="BF41" s="63"/>
      <c r="BG41" s="68"/>
      <c r="BH41" s="69"/>
      <c r="BI41" s="69"/>
      <c r="BJ41" s="69"/>
      <c r="BK41" s="69"/>
      <c r="BL41" s="70"/>
      <c r="BM41" s="1"/>
      <c r="BO41" s="74"/>
      <c r="BP41" s="75"/>
      <c r="BQ41" s="54"/>
      <c r="BR41" s="74"/>
      <c r="BS41" s="75"/>
      <c r="BT41" s="75"/>
      <c r="BU41" s="75"/>
      <c r="BV41" s="75"/>
      <c r="BW41" s="54"/>
      <c r="BX41" s="38"/>
      <c r="BY41" s="55"/>
      <c r="BZ41" s="55"/>
    </row>
    <row r="42" spans="1:78" s="3" customFormat="1" ht="30" customHeight="1" x14ac:dyDescent="0.2">
      <c r="A42" s="211"/>
      <c r="B42" s="212"/>
      <c r="C42" s="195" t="str">
        <f>CONCATENATE("&lt;",SUM(DATEDIF(C40,C41,"M"),1),"ヶ月&gt;")</f>
        <v>&lt;6ヶ月&gt;</v>
      </c>
      <c r="D42" s="196"/>
      <c r="E42" s="196"/>
      <c r="F42" s="197"/>
      <c r="G42" s="114"/>
      <c r="H42" s="114"/>
      <c r="I42" s="114"/>
      <c r="J42" s="115"/>
      <c r="K42" s="116"/>
      <c r="L42" s="116"/>
      <c r="M42" s="116"/>
      <c r="N42" s="116"/>
      <c r="O42" s="117"/>
      <c r="P42" s="121"/>
      <c r="Q42" s="122"/>
      <c r="R42" s="123"/>
      <c r="S42" s="202"/>
      <c r="T42" s="202"/>
      <c r="U42" s="202"/>
      <c r="V42" s="129"/>
      <c r="W42" s="130"/>
      <c r="X42" s="130"/>
      <c r="Y42" s="130"/>
      <c r="Z42" s="130"/>
      <c r="AA42" s="130"/>
      <c r="AB42" s="130"/>
      <c r="AC42" s="130"/>
      <c r="AD42" s="130"/>
      <c r="AE42" s="130"/>
      <c r="AF42" s="130"/>
      <c r="AG42" s="130"/>
      <c r="AH42" s="130"/>
      <c r="AI42" s="130"/>
      <c r="AJ42" s="130"/>
      <c r="AK42" s="130"/>
      <c r="AL42" s="130"/>
      <c r="AM42" s="131"/>
      <c r="AN42" s="200"/>
      <c r="AO42" s="200"/>
      <c r="AP42" s="200"/>
      <c r="AQ42" s="200"/>
      <c r="AR42" s="200"/>
      <c r="AS42" s="200"/>
      <c r="AT42" s="200"/>
      <c r="AU42" s="161"/>
      <c r="AV42" s="258"/>
      <c r="AW42" s="160"/>
      <c r="AX42" s="161"/>
      <c r="AY42" s="161"/>
      <c r="AZ42" s="161"/>
      <c r="BA42" s="161"/>
      <c r="BB42" s="161"/>
      <c r="BC42" s="161"/>
      <c r="BD42" s="161"/>
      <c r="BE42" s="161"/>
      <c r="BF42" s="258"/>
      <c r="BG42" s="68"/>
      <c r="BH42" s="69"/>
      <c r="BI42" s="69"/>
      <c r="BJ42" s="69"/>
      <c r="BK42" s="69"/>
      <c r="BL42" s="70"/>
      <c r="BM42" s="52"/>
      <c r="BO42" s="74"/>
      <c r="BP42" s="75"/>
      <c r="BQ42" s="54"/>
      <c r="BR42" s="74"/>
      <c r="BS42" s="75"/>
      <c r="BT42" s="75"/>
      <c r="BU42" s="75"/>
      <c r="BV42" s="75"/>
      <c r="BW42" s="54"/>
      <c r="BX42" s="38"/>
      <c r="BY42" s="55"/>
      <c r="BZ42" s="55"/>
    </row>
    <row r="43" spans="1:78" s="3" customFormat="1" ht="18.649999999999999" customHeight="1" x14ac:dyDescent="0.2">
      <c r="A43" s="137">
        <v>43</v>
      </c>
      <c r="B43" s="138"/>
      <c r="C43" s="216">
        <v>45275</v>
      </c>
      <c r="D43" s="217"/>
      <c r="E43" s="217"/>
      <c r="F43" s="218"/>
      <c r="G43" s="165" t="s">
        <v>125</v>
      </c>
      <c r="H43" s="114"/>
      <c r="I43" s="114"/>
      <c r="J43" s="168" t="s">
        <v>126</v>
      </c>
      <c r="K43" s="169"/>
      <c r="L43" s="169"/>
      <c r="M43" s="169"/>
      <c r="N43" s="169"/>
      <c r="O43" s="170"/>
      <c r="P43" s="213">
        <v>100</v>
      </c>
      <c r="Q43" s="214"/>
      <c r="R43" s="215"/>
      <c r="S43" s="128" t="s">
        <v>127</v>
      </c>
      <c r="T43" s="128"/>
      <c r="U43" s="128"/>
      <c r="V43" s="184" t="s">
        <v>289</v>
      </c>
      <c r="W43" s="185"/>
      <c r="X43" s="185"/>
      <c r="Y43" s="185"/>
      <c r="Z43" s="185"/>
      <c r="AA43" s="185"/>
      <c r="AB43" s="185"/>
      <c r="AC43" s="185"/>
      <c r="AD43" s="185"/>
      <c r="AE43" s="185"/>
      <c r="AF43" s="185"/>
      <c r="AG43" s="185"/>
      <c r="AH43" s="185"/>
      <c r="AI43" s="185"/>
      <c r="AJ43" s="185"/>
      <c r="AK43" s="185"/>
      <c r="AL43" s="185"/>
      <c r="AM43" s="186"/>
      <c r="AN43" s="165" t="s">
        <v>288</v>
      </c>
      <c r="AO43" s="114"/>
      <c r="AP43" s="114"/>
      <c r="AQ43" s="114"/>
      <c r="AR43" s="114"/>
      <c r="AS43" s="114"/>
      <c r="AT43" s="114"/>
      <c r="AU43" s="62"/>
      <c r="AV43" s="63" t="s">
        <v>41</v>
      </c>
      <c r="AW43" s="64" t="s">
        <v>40</v>
      </c>
      <c r="AX43" s="62"/>
      <c r="AY43" s="62"/>
      <c r="AZ43" s="62"/>
      <c r="BA43" s="62"/>
      <c r="BB43" s="62"/>
      <c r="BC43" s="62"/>
      <c r="BD43" s="62"/>
      <c r="BE43" s="62"/>
      <c r="BF43" s="63" t="s">
        <v>40</v>
      </c>
      <c r="BG43" s="65" t="s">
        <v>128</v>
      </c>
      <c r="BH43" s="66"/>
      <c r="BI43" s="66"/>
      <c r="BJ43" s="66"/>
      <c r="BK43" s="66"/>
      <c r="BL43" s="67"/>
      <c r="BM43" s="1"/>
      <c r="BO43" s="74" t="e">
        <f>IF(#REF!="●",SUM(DATEDIF($C43,$C44,"M"),1),"")</f>
        <v>#REF!</v>
      </c>
      <c r="BP43" s="75" t="str">
        <f>IF(AU43="●",SUM(DATEDIF($C43,$C44,"M"),1),"")</f>
        <v/>
      </c>
      <c r="BQ43" s="54">
        <f>IF(AV43="●",SUM(DATEDIF($C43,$C44,"M"),1),"")</f>
        <v>25</v>
      </c>
      <c r="BR43" s="74">
        <f>IF(BR$38=$S43,SUM(DATEDIF($C43,$C44,"M"),1),"")</f>
        <v>25</v>
      </c>
      <c r="BS43" s="75" t="str">
        <f t="shared" ref="BS43:BW43" si="2">IF(BS$38=$S43,SUM(DATEDIF($C43,$C44,"M"),1),"")</f>
        <v/>
      </c>
      <c r="BT43" s="75" t="str">
        <f t="shared" si="2"/>
        <v/>
      </c>
      <c r="BU43" s="75" t="str">
        <f t="shared" si="2"/>
        <v/>
      </c>
      <c r="BV43" s="75" t="str">
        <f t="shared" si="2"/>
        <v/>
      </c>
      <c r="BW43" s="54" t="str">
        <f t="shared" si="2"/>
        <v/>
      </c>
      <c r="BX43" s="38"/>
      <c r="BY43" s="55">
        <f>SUM(BR43:BW45)</f>
        <v>25</v>
      </c>
      <c r="BZ43" s="55" t="str">
        <f>C45</f>
        <v>&lt;25ヶ月&gt;</v>
      </c>
    </row>
    <row r="44" spans="1:78" s="3" customFormat="1" ht="18.649999999999999" customHeight="1" x14ac:dyDescent="0.2">
      <c r="A44" s="137"/>
      <c r="B44" s="138"/>
      <c r="C44" s="56">
        <v>46022</v>
      </c>
      <c r="D44" s="57"/>
      <c r="E44" s="57"/>
      <c r="F44" s="58"/>
      <c r="G44" s="114"/>
      <c r="H44" s="114"/>
      <c r="I44" s="114"/>
      <c r="J44" s="115"/>
      <c r="K44" s="116"/>
      <c r="L44" s="116"/>
      <c r="M44" s="116"/>
      <c r="N44" s="116"/>
      <c r="O44" s="117"/>
      <c r="P44" s="121"/>
      <c r="Q44" s="122"/>
      <c r="R44" s="123"/>
      <c r="S44" s="128"/>
      <c r="T44" s="128"/>
      <c r="U44" s="128"/>
      <c r="V44" s="129"/>
      <c r="W44" s="130"/>
      <c r="X44" s="130"/>
      <c r="Y44" s="130"/>
      <c r="Z44" s="130"/>
      <c r="AA44" s="130"/>
      <c r="AB44" s="130"/>
      <c r="AC44" s="130"/>
      <c r="AD44" s="130"/>
      <c r="AE44" s="130"/>
      <c r="AF44" s="130"/>
      <c r="AG44" s="130"/>
      <c r="AH44" s="130"/>
      <c r="AI44" s="130"/>
      <c r="AJ44" s="130"/>
      <c r="AK44" s="130"/>
      <c r="AL44" s="130"/>
      <c r="AM44" s="131"/>
      <c r="AN44" s="114"/>
      <c r="AO44" s="114"/>
      <c r="AP44" s="114"/>
      <c r="AQ44" s="114"/>
      <c r="AR44" s="114"/>
      <c r="AS44" s="114"/>
      <c r="AT44" s="114"/>
      <c r="AU44" s="62"/>
      <c r="AV44" s="63"/>
      <c r="AW44" s="64"/>
      <c r="AX44" s="62"/>
      <c r="AY44" s="62"/>
      <c r="AZ44" s="62"/>
      <c r="BA44" s="62"/>
      <c r="BB44" s="62"/>
      <c r="BC44" s="62"/>
      <c r="BD44" s="62"/>
      <c r="BE44" s="62"/>
      <c r="BF44" s="63"/>
      <c r="BG44" s="68"/>
      <c r="BH44" s="69"/>
      <c r="BI44" s="69"/>
      <c r="BJ44" s="69"/>
      <c r="BK44" s="69"/>
      <c r="BL44" s="70"/>
      <c r="BM44" s="1"/>
      <c r="BO44" s="74"/>
      <c r="BP44" s="75"/>
      <c r="BQ44" s="54"/>
      <c r="BR44" s="74"/>
      <c r="BS44" s="75"/>
      <c r="BT44" s="75"/>
      <c r="BU44" s="75"/>
      <c r="BV44" s="75"/>
      <c r="BW44" s="54"/>
      <c r="BX44" s="38"/>
      <c r="BY44" s="55"/>
      <c r="BZ44" s="55"/>
    </row>
    <row r="45" spans="1:78" s="3" customFormat="1" ht="64.5" customHeight="1" x14ac:dyDescent="0.2">
      <c r="A45" s="137"/>
      <c r="B45" s="138"/>
      <c r="C45" s="59" t="str">
        <f>CONCATENATE("&lt;",SUM(DATEDIF(C43,C44,"M"),1),"ヶ月&gt;")</f>
        <v>&lt;25ヶ月&gt;</v>
      </c>
      <c r="D45" s="60"/>
      <c r="E45" s="60"/>
      <c r="F45" s="61"/>
      <c r="G45" s="114"/>
      <c r="H45" s="114"/>
      <c r="I45" s="114"/>
      <c r="J45" s="118"/>
      <c r="K45" s="119"/>
      <c r="L45" s="119"/>
      <c r="M45" s="119"/>
      <c r="N45" s="119"/>
      <c r="O45" s="120"/>
      <c r="P45" s="124"/>
      <c r="Q45" s="125"/>
      <c r="R45" s="126"/>
      <c r="S45" s="128"/>
      <c r="T45" s="128"/>
      <c r="U45" s="128"/>
      <c r="V45" s="132"/>
      <c r="W45" s="133"/>
      <c r="X45" s="133"/>
      <c r="Y45" s="133"/>
      <c r="Z45" s="133"/>
      <c r="AA45" s="133"/>
      <c r="AB45" s="133"/>
      <c r="AC45" s="133"/>
      <c r="AD45" s="133"/>
      <c r="AE45" s="133"/>
      <c r="AF45" s="133"/>
      <c r="AG45" s="133"/>
      <c r="AH45" s="133"/>
      <c r="AI45" s="133"/>
      <c r="AJ45" s="133"/>
      <c r="AK45" s="133"/>
      <c r="AL45" s="133"/>
      <c r="AM45" s="134"/>
      <c r="AN45" s="114"/>
      <c r="AO45" s="114"/>
      <c r="AP45" s="114"/>
      <c r="AQ45" s="114"/>
      <c r="AR45" s="114"/>
      <c r="AS45" s="114"/>
      <c r="AT45" s="114"/>
      <c r="AU45" s="62"/>
      <c r="AV45" s="63"/>
      <c r="AW45" s="64"/>
      <c r="AX45" s="62"/>
      <c r="AY45" s="62"/>
      <c r="AZ45" s="62"/>
      <c r="BA45" s="62"/>
      <c r="BB45" s="62"/>
      <c r="BC45" s="62"/>
      <c r="BD45" s="62"/>
      <c r="BE45" s="62"/>
      <c r="BF45" s="63"/>
      <c r="BG45" s="71"/>
      <c r="BH45" s="72"/>
      <c r="BI45" s="72"/>
      <c r="BJ45" s="72"/>
      <c r="BK45" s="72"/>
      <c r="BL45" s="73"/>
      <c r="BM45" s="52"/>
      <c r="BO45" s="74"/>
      <c r="BP45" s="75"/>
      <c r="BQ45" s="54"/>
      <c r="BR45" s="74"/>
      <c r="BS45" s="75"/>
      <c r="BT45" s="75"/>
      <c r="BU45" s="75"/>
      <c r="BV45" s="75"/>
      <c r="BW45" s="54"/>
      <c r="BX45" s="38"/>
      <c r="BY45" s="55"/>
      <c r="BZ45" s="55"/>
    </row>
    <row r="46" spans="1:78" s="3" customFormat="1" ht="18.649999999999999" customHeight="1" x14ac:dyDescent="0.2">
      <c r="A46" s="135">
        <v>42</v>
      </c>
      <c r="B46" s="136"/>
      <c r="C46" s="192">
        <v>44652</v>
      </c>
      <c r="D46" s="193"/>
      <c r="E46" s="193"/>
      <c r="F46" s="194"/>
      <c r="G46" s="112" t="s">
        <v>56</v>
      </c>
      <c r="H46" s="113"/>
      <c r="I46" s="113"/>
      <c r="J46" s="115" t="s">
        <v>129</v>
      </c>
      <c r="K46" s="116"/>
      <c r="L46" s="116"/>
      <c r="M46" s="116"/>
      <c r="N46" s="116"/>
      <c r="O46" s="117"/>
      <c r="P46" s="121">
        <v>500</v>
      </c>
      <c r="Q46" s="122"/>
      <c r="R46" s="123"/>
      <c r="S46" s="127" t="s">
        <v>123</v>
      </c>
      <c r="T46" s="127"/>
      <c r="U46" s="127"/>
      <c r="V46" s="129" t="s">
        <v>130</v>
      </c>
      <c r="W46" s="130"/>
      <c r="X46" s="130"/>
      <c r="Y46" s="130"/>
      <c r="Z46" s="130"/>
      <c r="AA46" s="130"/>
      <c r="AB46" s="130"/>
      <c r="AC46" s="130"/>
      <c r="AD46" s="130"/>
      <c r="AE46" s="130"/>
      <c r="AF46" s="130"/>
      <c r="AG46" s="130"/>
      <c r="AH46" s="130"/>
      <c r="AI46" s="130"/>
      <c r="AJ46" s="130"/>
      <c r="AK46" s="130"/>
      <c r="AL46" s="130"/>
      <c r="AM46" s="131"/>
      <c r="AN46" s="112" t="s">
        <v>131</v>
      </c>
      <c r="AO46" s="113"/>
      <c r="AP46" s="113"/>
      <c r="AQ46" s="113"/>
      <c r="AR46" s="113"/>
      <c r="AS46" s="113"/>
      <c r="AT46" s="113"/>
      <c r="AU46" s="78"/>
      <c r="AV46" s="76" t="s">
        <v>41</v>
      </c>
      <c r="AW46" s="77"/>
      <c r="AX46" s="78"/>
      <c r="AY46" s="78"/>
      <c r="AZ46" s="78"/>
      <c r="BA46" s="78" t="s">
        <v>41</v>
      </c>
      <c r="BB46" s="78" t="s">
        <v>40</v>
      </c>
      <c r="BC46" s="78"/>
      <c r="BD46" s="78"/>
      <c r="BE46" s="78"/>
      <c r="BF46" s="76"/>
      <c r="BG46" s="68" t="s">
        <v>132</v>
      </c>
      <c r="BH46" s="69"/>
      <c r="BI46" s="69"/>
      <c r="BJ46" s="69"/>
      <c r="BK46" s="69"/>
      <c r="BL46" s="70"/>
      <c r="BM46" s="1"/>
      <c r="BO46" s="74" t="e">
        <f>IF(#REF!="●",SUM(DATEDIF($C46,$C47,"M"),1),"")</f>
        <v>#REF!</v>
      </c>
      <c r="BP46" s="75" t="str">
        <f>IF(AU46="●",SUM(DATEDIF($C46,$C47,"M"),1),"")</f>
        <v/>
      </c>
      <c r="BQ46" s="54">
        <f>IF(AV46="●",SUM(DATEDIF($C46,$C47,"M"),1),"")</f>
        <v>18</v>
      </c>
      <c r="BR46" s="74" t="str">
        <f>IF(BR$38=$S46,SUM(DATEDIF($C46,$C47,"M"),1),"")</f>
        <v/>
      </c>
      <c r="BS46" s="75" t="str">
        <f t="shared" ref="BS46:BW46" si="3">IF(BS$38=$S46,SUM(DATEDIF($C46,$C47,"M"),1),"")</f>
        <v/>
      </c>
      <c r="BT46" s="75">
        <f t="shared" si="3"/>
        <v>18</v>
      </c>
      <c r="BU46" s="75" t="str">
        <f t="shared" si="3"/>
        <v/>
      </c>
      <c r="BV46" s="75" t="str">
        <f t="shared" si="3"/>
        <v/>
      </c>
      <c r="BW46" s="54" t="str">
        <f t="shared" si="3"/>
        <v/>
      </c>
      <c r="BX46" s="38"/>
      <c r="BY46" s="55">
        <f>SUM(BR46:BW48)</f>
        <v>18</v>
      </c>
      <c r="BZ46" s="55" t="str">
        <f>C48</f>
        <v>&lt;18ヶ月&gt;</v>
      </c>
    </row>
    <row r="47" spans="1:78" s="3" customFormat="1" ht="18.649999999999999" customHeight="1" x14ac:dyDescent="0.2">
      <c r="A47" s="137"/>
      <c r="B47" s="138"/>
      <c r="C47" s="56">
        <v>45199</v>
      </c>
      <c r="D47" s="57"/>
      <c r="E47" s="57"/>
      <c r="F47" s="58"/>
      <c r="G47" s="114"/>
      <c r="H47" s="114"/>
      <c r="I47" s="114"/>
      <c r="J47" s="115"/>
      <c r="K47" s="116"/>
      <c r="L47" s="116"/>
      <c r="M47" s="116"/>
      <c r="N47" s="116"/>
      <c r="O47" s="117"/>
      <c r="P47" s="121"/>
      <c r="Q47" s="122"/>
      <c r="R47" s="123"/>
      <c r="S47" s="128"/>
      <c r="T47" s="128"/>
      <c r="U47" s="128"/>
      <c r="V47" s="129"/>
      <c r="W47" s="130"/>
      <c r="X47" s="130"/>
      <c r="Y47" s="130"/>
      <c r="Z47" s="130"/>
      <c r="AA47" s="130"/>
      <c r="AB47" s="130"/>
      <c r="AC47" s="130"/>
      <c r="AD47" s="130"/>
      <c r="AE47" s="130"/>
      <c r="AF47" s="130"/>
      <c r="AG47" s="130"/>
      <c r="AH47" s="130"/>
      <c r="AI47" s="130"/>
      <c r="AJ47" s="130"/>
      <c r="AK47" s="130"/>
      <c r="AL47" s="130"/>
      <c r="AM47" s="131"/>
      <c r="AN47" s="114"/>
      <c r="AO47" s="114"/>
      <c r="AP47" s="114"/>
      <c r="AQ47" s="114"/>
      <c r="AR47" s="114"/>
      <c r="AS47" s="114"/>
      <c r="AT47" s="114"/>
      <c r="AU47" s="62"/>
      <c r="AV47" s="63"/>
      <c r="AW47" s="64"/>
      <c r="AX47" s="62"/>
      <c r="AY47" s="62"/>
      <c r="AZ47" s="62"/>
      <c r="BA47" s="62"/>
      <c r="BB47" s="62"/>
      <c r="BC47" s="62"/>
      <c r="BD47" s="62"/>
      <c r="BE47" s="62"/>
      <c r="BF47" s="63"/>
      <c r="BG47" s="68"/>
      <c r="BH47" s="69"/>
      <c r="BI47" s="69"/>
      <c r="BJ47" s="69"/>
      <c r="BK47" s="69"/>
      <c r="BL47" s="70"/>
      <c r="BM47" s="1"/>
      <c r="BO47" s="74"/>
      <c r="BP47" s="75"/>
      <c r="BQ47" s="54"/>
      <c r="BR47" s="74"/>
      <c r="BS47" s="75"/>
      <c r="BT47" s="75"/>
      <c r="BU47" s="75"/>
      <c r="BV47" s="75"/>
      <c r="BW47" s="54"/>
      <c r="BX47" s="38"/>
      <c r="BY47" s="55"/>
      <c r="BZ47" s="55"/>
    </row>
    <row r="48" spans="1:78" s="3" customFormat="1" ht="18" customHeight="1" x14ac:dyDescent="0.2">
      <c r="A48" s="137"/>
      <c r="B48" s="138"/>
      <c r="C48" s="59" t="str">
        <f>CONCATENATE("&lt;",SUM(DATEDIF(C46,C47,"M"),1),"ヶ月&gt;")</f>
        <v>&lt;18ヶ月&gt;</v>
      </c>
      <c r="D48" s="60"/>
      <c r="E48" s="60"/>
      <c r="F48" s="61"/>
      <c r="G48" s="114"/>
      <c r="H48" s="114"/>
      <c r="I48" s="114"/>
      <c r="J48" s="118"/>
      <c r="K48" s="119"/>
      <c r="L48" s="119"/>
      <c r="M48" s="119"/>
      <c r="N48" s="119"/>
      <c r="O48" s="120"/>
      <c r="P48" s="124"/>
      <c r="Q48" s="125"/>
      <c r="R48" s="126"/>
      <c r="S48" s="128"/>
      <c r="T48" s="128"/>
      <c r="U48" s="128"/>
      <c r="V48" s="132"/>
      <c r="W48" s="133"/>
      <c r="X48" s="133"/>
      <c r="Y48" s="133"/>
      <c r="Z48" s="133"/>
      <c r="AA48" s="133"/>
      <c r="AB48" s="133"/>
      <c r="AC48" s="133"/>
      <c r="AD48" s="133"/>
      <c r="AE48" s="133"/>
      <c r="AF48" s="133"/>
      <c r="AG48" s="133"/>
      <c r="AH48" s="133"/>
      <c r="AI48" s="133"/>
      <c r="AJ48" s="133"/>
      <c r="AK48" s="133"/>
      <c r="AL48" s="133"/>
      <c r="AM48" s="134"/>
      <c r="AN48" s="114"/>
      <c r="AO48" s="114"/>
      <c r="AP48" s="114"/>
      <c r="AQ48" s="114"/>
      <c r="AR48" s="114"/>
      <c r="AS48" s="114"/>
      <c r="AT48" s="114"/>
      <c r="AU48" s="62"/>
      <c r="AV48" s="63"/>
      <c r="AW48" s="64"/>
      <c r="AX48" s="62"/>
      <c r="AY48" s="62"/>
      <c r="AZ48" s="62"/>
      <c r="BA48" s="62"/>
      <c r="BB48" s="62"/>
      <c r="BC48" s="62"/>
      <c r="BD48" s="62"/>
      <c r="BE48" s="62"/>
      <c r="BF48" s="63"/>
      <c r="BG48" s="71"/>
      <c r="BH48" s="72"/>
      <c r="BI48" s="72"/>
      <c r="BJ48" s="72"/>
      <c r="BK48" s="72"/>
      <c r="BL48" s="73"/>
      <c r="BM48" s="52"/>
      <c r="BO48" s="74"/>
      <c r="BP48" s="75"/>
      <c r="BQ48" s="54"/>
      <c r="BR48" s="74"/>
      <c r="BS48" s="75"/>
      <c r="BT48" s="75"/>
      <c r="BU48" s="75"/>
      <c r="BV48" s="75"/>
      <c r="BW48" s="54"/>
      <c r="BX48" s="38"/>
      <c r="BY48" s="55"/>
      <c r="BZ48" s="55"/>
    </row>
    <row r="49" spans="1:78" s="3" customFormat="1" ht="18.649999999999999" customHeight="1" x14ac:dyDescent="0.2">
      <c r="A49" s="135">
        <v>41</v>
      </c>
      <c r="B49" s="136"/>
      <c r="C49" s="110">
        <v>44378</v>
      </c>
      <c r="D49" s="111"/>
      <c r="E49" s="111"/>
      <c r="F49" s="111"/>
      <c r="G49" s="112" t="s">
        <v>133</v>
      </c>
      <c r="H49" s="113"/>
      <c r="I49" s="113"/>
      <c r="J49" s="115" t="s">
        <v>134</v>
      </c>
      <c r="K49" s="116"/>
      <c r="L49" s="116"/>
      <c r="M49" s="116"/>
      <c r="N49" s="116"/>
      <c r="O49" s="117"/>
      <c r="P49" s="121">
        <v>200</v>
      </c>
      <c r="Q49" s="122"/>
      <c r="R49" s="123"/>
      <c r="S49" s="127" t="s">
        <v>123</v>
      </c>
      <c r="T49" s="127"/>
      <c r="U49" s="127"/>
      <c r="V49" s="129" t="s">
        <v>135</v>
      </c>
      <c r="W49" s="130"/>
      <c r="X49" s="130"/>
      <c r="Y49" s="130"/>
      <c r="Z49" s="130"/>
      <c r="AA49" s="130"/>
      <c r="AB49" s="130"/>
      <c r="AC49" s="130"/>
      <c r="AD49" s="130"/>
      <c r="AE49" s="130"/>
      <c r="AF49" s="130"/>
      <c r="AG49" s="130"/>
      <c r="AH49" s="130"/>
      <c r="AI49" s="130"/>
      <c r="AJ49" s="130"/>
      <c r="AK49" s="130"/>
      <c r="AL49" s="130"/>
      <c r="AM49" s="131"/>
      <c r="AN49" s="112" t="s">
        <v>136</v>
      </c>
      <c r="AO49" s="113"/>
      <c r="AP49" s="113"/>
      <c r="AQ49" s="113"/>
      <c r="AR49" s="113"/>
      <c r="AS49" s="113"/>
      <c r="AT49" s="113"/>
      <c r="AU49" s="62" t="s">
        <v>40</v>
      </c>
      <c r="AV49" s="63"/>
      <c r="AW49" s="77"/>
      <c r="AX49" s="78"/>
      <c r="AY49" s="78"/>
      <c r="AZ49" s="78"/>
      <c r="BA49" s="78" t="s">
        <v>41</v>
      </c>
      <c r="BB49" s="78" t="s">
        <v>40</v>
      </c>
      <c r="BC49" s="78"/>
      <c r="BD49" s="78"/>
      <c r="BE49" s="78" t="s">
        <v>40</v>
      </c>
      <c r="BF49" s="76"/>
      <c r="BG49" s="65"/>
      <c r="BH49" s="66"/>
      <c r="BI49" s="66"/>
      <c r="BJ49" s="66"/>
      <c r="BK49" s="66"/>
      <c r="BL49" s="67"/>
      <c r="BM49" s="52"/>
      <c r="BO49" s="74" t="e">
        <f>IF(#REF!="●",SUM(DATEDIF($C49,$C50,"M"),1),"")</f>
        <v>#REF!</v>
      </c>
      <c r="BP49" s="75">
        <f>IF(AU49="●",SUM(DATEDIF($C49,$C50,"M"),1),"")</f>
        <v>9</v>
      </c>
      <c r="BQ49" s="54" t="str">
        <f>IF(AV49="●",SUM(DATEDIF($C49,$C50,"M"),1),"")</f>
        <v/>
      </c>
      <c r="BR49" s="74" t="str">
        <f>IF(BR$38=$S49,SUM(DATEDIF($C49,$C50,"M"),1),"")</f>
        <v/>
      </c>
      <c r="BS49" s="75" t="str">
        <f t="shared" ref="BS49:BW49" si="4">IF(BS$38=$S49,SUM(DATEDIF($C49,$C50,"M"),1),"")</f>
        <v/>
      </c>
      <c r="BT49" s="75">
        <f t="shared" si="4"/>
        <v>9</v>
      </c>
      <c r="BU49" s="75" t="str">
        <f t="shared" si="4"/>
        <v/>
      </c>
      <c r="BV49" s="75" t="str">
        <f t="shared" si="4"/>
        <v/>
      </c>
      <c r="BW49" s="54" t="str">
        <f t="shared" si="4"/>
        <v/>
      </c>
      <c r="BX49" s="38"/>
      <c r="BY49" s="55">
        <f>SUM(BR49:BW51)</f>
        <v>9</v>
      </c>
      <c r="BZ49" s="55" t="str">
        <f>C51</f>
        <v>&lt;9ヶ月&gt;</v>
      </c>
    </row>
    <row r="50" spans="1:78" s="3" customFormat="1" ht="18.649999999999999" customHeight="1" x14ac:dyDescent="0.2">
      <c r="A50" s="137"/>
      <c r="B50" s="138"/>
      <c r="C50" s="56">
        <v>44651</v>
      </c>
      <c r="D50" s="57"/>
      <c r="E50" s="57"/>
      <c r="F50" s="58"/>
      <c r="G50" s="114"/>
      <c r="H50" s="114"/>
      <c r="I50" s="114"/>
      <c r="J50" s="115"/>
      <c r="K50" s="116"/>
      <c r="L50" s="116"/>
      <c r="M50" s="116"/>
      <c r="N50" s="116"/>
      <c r="O50" s="117"/>
      <c r="P50" s="121"/>
      <c r="Q50" s="122"/>
      <c r="R50" s="123"/>
      <c r="S50" s="128"/>
      <c r="T50" s="128"/>
      <c r="U50" s="128"/>
      <c r="V50" s="129"/>
      <c r="W50" s="130"/>
      <c r="X50" s="130"/>
      <c r="Y50" s="130"/>
      <c r="Z50" s="130"/>
      <c r="AA50" s="130"/>
      <c r="AB50" s="130"/>
      <c r="AC50" s="130"/>
      <c r="AD50" s="130"/>
      <c r="AE50" s="130"/>
      <c r="AF50" s="130"/>
      <c r="AG50" s="130"/>
      <c r="AH50" s="130"/>
      <c r="AI50" s="130"/>
      <c r="AJ50" s="130"/>
      <c r="AK50" s="130"/>
      <c r="AL50" s="130"/>
      <c r="AM50" s="131"/>
      <c r="AN50" s="114"/>
      <c r="AO50" s="114"/>
      <c r="AP50" s="114"/>
      <c r="AQ50" s="114"/>
      <c r="AR50" s="114"/>
      <c r="AS50" s="114"/>
      <c r="AT50" s="114"/>
      <c r="AU50" s="62"/>
      <c r="AV50" s="63"/>
      <c r="AW50" s="64"/>
      <c r="AX50" s="62"/>
      <c r="AY50" s="62"/>
      <c r="AZ50" s="62"/>
      <c r="BA50" s="62"/>
      <c r="BB50" s="62"/>
      <c r="BC50" s="62"/>
      <c r="BD50" s="62"/>
      <c r="BE50" s="62"/>
      <c r="BF50" s="63"/>
      <c r="BG50" s="68"/>
      <c r="BH50" s="69"/>
      <c r="BI50" s="69"/>
      <c r="BJ50" s="69"/>
      <c r="BK50" s="69"/>
      <c r="BL50" s="70"/>
      <c r="BM50" s="52"/>
      <c r="BO50" s="74"/>
      <c r="BP50" s="75"/>
      <c r="BQ50" s="54"/>
      <c r="BR50" s="74"/>
      <c r="BS50" s="75"/>
      <c r="BT50" s="75"/>
      <c r="BU50" s="75"/>
      <c r="BV50" s="75"/>
      <c r="BW50" s="54"/>
      <c r="BX50" s="38"/>
      <c r="BY50" s="55"/>
      <c r="BZ50" s="55"/>
    </row>
    <row r="51" spans="1:78" s="3" customFormat="1" ht="50.25" customHeight="1" x14ac:dyDescent="0.2">
      <c r="A51" s="137"/>
      <c r="B51" s="138"/>
      <c r="C51" s="59" t="str">
        <f>CONCATENATE("&lt;",SUM(DATEDIF(C49,C50,"M"),1),"ヶ月&gt;")</f>
        <v>&lt;9ヶ月&gt;</v>
      </c>
      <c r="D51" s="60"/>
      <c r="E51" s="60"/>
      <c r="F51" s="61"/>
      <c r="G51" s="114"/>
      <c r="H51" s="114"/>
      <c r="I51" s="114"/>
      <c r="J51" s="118"/>
      <c r="K51" s="119"/>
      <c r="L51" s="119"/>
      <c r="M51" s="119"/>
      <c r="N51" s="119"/>
      <c r="O51" s="120"/>
      <c r="P51" s="124"/>
      <c r="Q51" s="125"/>
      <c r="R51" s="126"/>
      <c r="S51" s="128"/>
      <c r="T51" s="128"/>
      <c r="U51" s="128"/>
      <c r="V51" s="132"/>
      <c r="W51" s="133"/>
      <c r="X51" s="133"/>
      <c r="Y51" s="133"/>
      <c r="Z51" s="133"/>
      <c r="AA51" s="133"/>
      <c r="AB51" s="133"/>
      <c r="AC51" s="133"/>
      <c r="AD51" s="133"/>
      <c r="AE51" s="133"/>
      <c r="AF51" s="133"/>
      <c r="AG51" s="133"/>
      <c r="AH51" s="133"/>
      <c r="AI51" s="133"/>
      <c r="AJ51" s="133"/>
      <c r="AK51" s="133"/>
      <c r="AL51" s="133"/>
      <c r="AM51" s="134"/>
      <c r="AN51" s="114"/>
      <c r="AO51" s="114"/>
      <c r="AP51" s="114"/>
      <c r="AQ51" s="114"/>
      <c r="AR51" s="114"/>
      <c r="AS51" s="114"/>
      <c r="AT51" s="114"/>
      <c r="AU51" s="62"/>
      <c r="AV51" s="63"/>
      <c r="AW51" s="64"/>
      <c r="AX51" s="62"/>
      <c r="AY51" s="62"/>
      <c r="AZ51" s="62"/>
      <c r="BA51" s="62"/>
      <c r="BB51" s="62"/>
      <c r="BC51" s="62"/>
      <c r="BD51" s="62"/>
      <c r="BE51" s="62"/>
      <c r="BF51" s="63"/>
      <c r="BG51" s="71"/>
      <c r="BH51" s="72"/>
      <c r="BI51" s="72"/>
      <c r="BJ51" s="72"/>
      <c r="BK51" s="72"/>
      <c r="BL51" s="73"/>
      <c r="BM51" s="52"/>
      <c r="BO51" s="74"/>
      <c r="BP51" s="75"/>
      <c r="BQ51" s="54"/>
      <c r="BR51" s="74"/>
      <c r="BS51" s="75"/>
      <c r="BT51" s="75"/>
      <c r="BU51" s="75"/>
      <c r="BV51" s="75"/>
      <c r="BW51" s="54"/>
      <c r="BX51" s="38"/>
      <c r="BY51" s="55"/>
      <c r="BZ51" s="55"/>
    </row>
    <row r="52" spans="1:78" s="3" customFormat="1" ht="18.649999999999999" customHeight="1" x14ac:dyDescent="0.2">
      <c r="A52" s="104">
        <f>A55+1</f>
        <v>40</v>
      </c>
      <c r="B52" s="105"/>
      <c r="C52" s="110">
        <v>44228</v>
      </c>
      <c r="D52" s="111"/>
      <c r="E52" s="111"/>
      <c r="F52" s="111"/>
      <c r="G52" s="112" t="s">
        <v>137</v>
      </c>
      <c r="H52" s="113"/>
      <c r="I52" s="113"/>
      <c r="J52" s="115" t="s">
        <v>138</v>
      </c>
      <c r="K52" s="116"/>
      <c r="L52" s="116"/>
      <c r="M52" s="116"/>
      <c r="N52" s="116"/>
      <c r="O52" s="117"/>
      <c r="P52" s="121">
        <v>500</v>
      </c>
      <c r="Q52" s="122"/>
      <c r="R52" s="123"/>
      <c r="S52" s="127" t="s">
        <v>28</v>
      </c>
      <c r="T52" s="127"/>
      <c r="U52" s="127"/>
      <c r="V52" s="129" t="s">
        <v>139</v>
      </c>
      <c r="W52" s="130"/>
      <c r="X52" s="130"/>
      <c r="Y52" s="130"/>
      <c r="Z52" s="130"/>
      <c r="AA52" s="130"/>
      <c r="AB52" s="130"/>
      <c r="AC52" s="130"/>
      <c r="AD52" s="130"/>
      <c r="AE52" s="130"/>
      <c r="AF52" s="130"/>
      <c r="AG52" s="130"/>
      <c r="AH52" s="130"/>
      <c r="AI52" s="130"/>
      <c r="AJ52" s="130"/>
      <c r="AK52" s="130"/>
      <c r="AL52" s="130"/>
      <c r="AM52" s="131"/>
      <c r="AN52" s="112" t="s">
        <v>140</v>
      </c>
      <c r="AO52" s="113"/>
      <c r="AP52" s="113"/>
      <c r="AQ52" s="113"/>
      <c r="AR52" s="113"/>
      <c r="AS52" s="113"/>
      <c r="AT52" s="113"/>
      <c r="AU52" s="62"/>
      <c r="AV52" s="63" t="s">
        <v>41</v>
      </c>
      <c r="AW52" s="77" t="s">
        <v>41</v>
      </c>
      <c r="AX52" s="78"/>
      <c r="AY52" s="78"/>
      <c r="AZ52" s="78"/>
      <c r="BA52" s="78" t="s">
        <v>41</v>
      </c>
      <c r="BB52" s="78" t="s">
        <v>40</v>
      </c>
      <c r="BC52" s="78" t="s">
        <v>40</v>
      </c>
      <c r="BD52" s="78" t="s">
        <v>40</v>
      </c>
      <c r="BE52" s="78"/>
      <c r="BF52" s="76"/>
      <c r="BG52" s="65" t="s">
        <v>132</v>
      </c>
      <c r="BH52" s="66"/>
      <c r="BI52" s="66"/>
      <c r="BJ52" s="66"/>
      <c r="BK52" s="66"/>
      <c r="BL52" s="67"/>
      <c r="BM52" s="52"/>
      <c r="BO52" s="74" t="e">
        <f>IF(#REF!="●",SUM(DATEDIF($C52,$C53,"M"),1),"")</f>
        <v>#REF!</v>
      </c>
      <c r="BP52" s="75" t="str">
        <f>IF(AU52="●",SUM(DATEDIF($C52,$C53,"M"),1),"")</f>
        <v/>
      </c>
      <c r="BQ52" s="54">
        <f>IF(AV52="●",SUM(DATEDIF($C52,$C53,"M"),1),"")</f>
        <v>5</v>
      </c>
      <c r="BR52" s="74" t="str">
        <f>IF(BR$38=$S52,SUM(DATEDIF($C52,$C53,"M"),1),"")</f>
        <v/>
      </c>
      <c r="BS52" s="75" t="str">
        <f t="shared" ref="BS52:BW52" si="5">IF(BS$38=$S52,SUM(DATEDIF($C52,$C53,"M"),1),"")</f>
        <v/>
      </c>
      <c r="BT52" s="75" t="str">
        <f t="shared" si="5"/>
        <v/>
      </c>
      <c r="BU52" s="75">
        <f t="shared" si="5"/>
        <v>5</v>
      </c>
      <c r="BV52" s="75" t="str">
        <f t="shared" si="5"/>
        <v/>
      </c>
      <c r="BW52" s="54" t="str">
        <f t="shared" si="5"/>
        <v/>
      </c>
      <c r="BX52" s="38"/>
      <c r="BY52" s="55">
        <f>SUM(BR52:BW54)</f>
        <v>5</v>
      </c>
      <c r="BZ52" s="55" t="str">
        <f>C54</f>
        <v>&lt;5ヶ月&gt;</v>
      </c>
    </row>
    <row r="53" spans="1:78" s="3" customFormat="1" ht="18.649999999999999" customHeight="1" x14ac:dyDescent="0.2">
      <c r="A53" s="106"/>
      <c r="B53" s="107"/>
      <c r="C53" s="56">
        <v>44377</v>
      </c>
      <c r="D53" s="57"/>
      <c r="E53" s="57"/>
      <c r="F53" s="58"/>
      <c r="G53" s="114"/>
      <c r="H53" s="114"/>
      <c r="I53" s="114"/>
      <c r="J53" s="115"/>
      <c r="K53" s="116"/>
      <c r="L53" s="116"/>
      <c r="M53" s="116"/>
      <c r="N53" s="116"/>
      <c r="O53" s="117"/>
      <c r="P53" s="121"/>
      <c r="Q53" s="122"/>
      <c r="R53" s="123"/>
      <c r="S53" s="128"/>
      <c r="T53" s="128"/>
      <c r="U53" s="128"/>
      <c r="V53" s="129"/>
      <c r="W53" s="130"/>
      <c r="X53" s="130"/>
      <c r="Y53" s="130"/>
      <c r="Z53" s="130"/>
      <c r="AA53" s="130"/>
      <c r="AB53" s="130"/>
      <c r="AC53" s="130"/>
      <c r="AD53" s="130"/>
      <c r="AE53" s="130"/>
      <c r="AF53" s="130"/>
      <c r="AG53" s="130"/>
      <c r="AH53" s="130"/>
      <c r="AI53" s="130"/>
      <c r="AJ53" s="130"/>
      <c r="AK53" s="130"/>
      <c r="AL53" s="130"/>
      <c r="AM53" s="131"/>
      <c r="AN53" s="114"/>
      <c r="AO53" s="114"/>
      <c r="AP53" s="114"/>
      <c r="AQ53" s="114"/>
      <c r="AR53" s="114"/>
      <c r="AS53" s="114"/>
      <c r="AT53" s="114"/>
      <c r="AU53" s="62"/>
      <c r="AV53" s="63"/>
      <c r="AW53" s="64"/>
      <c r="AX53" s="62"/>
      <c r="AY53" s="62"/>
      <c r="AZ53" s="62"/>
      <c r="BA53" s="62"/>
      <c r="BB53" s="62"/>
      <c r="BC53" s="62"/>
      <c r="BD53" s="62"/>
      <c r="BE53" s="62"/>
      <c r="BF53" s="63"/>
      <c r="BG53" s="68"/>
      <c r="BH53" s="69"/>
      <c r="BI53" s="69"/>
      <c r="BJ53" s="69"/>
      <c r="BK53" s="69"/>
      <c r="BL53" s="70"/>
      <c r="BM53" s="52"/>
      <c r="BO53" s="74"/>
      <c r="BP53" s="75"/>
      <c r="BQ53" s="54"/>
      <c r="BR53" s="74"/>
      <c r="BS53" s="75"/>
      <c r="BT53" s="75"/>
      <c r="BU53" s="75"/>
      <c r="BV53" s="75"/>
      <c r="BW53" s="54"/>
      <c r="BX53" s="38"/>
      <c r="BY53" s="55"/>
      <c r="BZ53" s="55"/>
    </row>
    <row r="54" spans="1:78" s="3" customFormat="1" ht="34.5" customHeight="1" x14ac:dyDescent="0.2">
      <c r="A54" s="108"/>
      <c r="B54" s="109"/>
      <c r="C54" s="59" t="str">
        <f>CONCATENATE("&lt;",SUM(DATEDIF(C52,C53,"M"),1),"ヶ月&gt;")</f>
        <v>&lt;5ヶ月&gt;</v>
      </c>
      <c r="D54" s="60"/>
      <c r="E54" s="60"/>
      <c r="F54" s="61"/>
      <c r="G54" s="114"/>
      <c r="H54" s="114"/>
      <c r="I54" s="114"/>
      <c r="J54" s="118"/>
      <c r="K54" s="119"/>
      <c r="L54" s="119"/>
      <c r="M54" s="119"/>
      <c r="N54" s="119"/>
      <c r="O54" s="120"/>
      <c r="P54" s="124"/>
      <c r="Q54" s="125"/>
      <c r="R54" s="126"/>
      <c r="S54" s="128"/>
      <c r="T54" s="128"/>
      <c r="U54" s="128"/>
      <c r="V54" s="132"/>
      <c r="W54" s="133"/>
      <c r="X54" s="133"/>
      <c r="Y54" s="133"/>
      <c r="Z54" s="133"/>
      <c r="AA54" s="133"/>
      <c r="AB54" s="133"/>
      <c r="AC54" s="133"/>
      <c r="AD54" s="133"/>
      <c r="AE54" s="133"/>
      <c r="AF54" s="133"/>
      <c r="AG54" s="133"/>
      <c r="AH54" s="133"/>
      <c r="AI54" s="133"/>
      <c r="AJ54" s="133"/>
      <c r="AK54" s="133"/>
      <c r="AL54" s="133"/>
      <c r="AM54" s="134"/>
      <c r="AN54" s="114"/>
      <c r="AO54" s="114"/>
      <c r="AP54" s="114"/>
      <c r="AQ54" s="114"/>
      <c r="AR54" s="114"/>
      <c r="AS54" s="114"/>
      <c r="AT54" s="114"/>
      <c r="AU54" s="62"/>
      <c r="AV54" s="63"/>
      <c r="AW54" s="64"/>
      <c r="AX54" s="62"/>
      <c r="AY54" s="62"/>
      <c r="AZ54" s="62"/>
      <c r="BA54" s="62"/>
      <c r="BB54" s="62"/>
      <c r="BC54" s="62"/>
      <c r="BD54" s="62"/>
      <c r="BE54" s="62"/>
      <c r="BF54" s="63"/>
      <c r="BG54" s="71"/>
      <c r="BH54" s="72"/>
      <c r="BI54" s="72"/>
      <c r="BJ54" s="72"/>
      <c r="BK54" s="72"/>
      <c r="BL54" s="73"/>
      <c r="BM54" s="52"/>
      <c r="BO54" s="74"/>
      <c r="BP54" s="75"/>
      <c r="BQ54" s="54"/>
      <c r="BR54" s="74"/>
      <c r="BS54" s="75"/>
      <c r="BT54" s="75"/>
      <c r="BU54" s="75"/>
      <c r="BV54" s="75"/>
      <c r="BW54" s="54"/>
      <c r="BX54" s="38"/>
      <c r="BY54" s="55"/>
      <c r="BZ54" s="55"/>
    </row>
    <row r="55" spans="1:78" s="3" customFormat="1" ht="18.649999999999999" customHeight="1" x14ac:dyDescent="0.2">
      <c r="A55" s="104">
        <f>A58+1</f>
        <v>39</v>
      </c>
      <c r="B55" s="105"/>
      <c r="C55" s="179">
        <v>44054</v>
      </c>
      <c r="D55" s="180"/>
      <c r="E55" s="180"/>
      <c r="F55" s="180"/>
      <c r="G55" s="165" t="s">
        <v>141</v>
      </c>
      <c r="H55" s="114"/>
      <c r="I55" s="114"/>
      <c r="J55" s="168" t="s">
        <v>142</v>
      </c>
      <c r="K55" s="169"/>
      <c r="L55" s="169"/>
      <c r="M55" s="169"/>
      <c r="N55" s="169"/>
      <c r="O55" s="170"/>
      <c r="P55" s="213">
        <v>500</v>
      </c>
      <c r="Q55" s="214"/>
      <c r="R55" s="215"/>
      <c r="S55" s="128" t="s">
        <v>28</v>
      </c>
      <c r="T55" s="128"/>
      <c r="U55" s="128"/>
      <c r="V55" s="184" t="s">
        <v>143</v>
      </c>
      <c r="W55" s="185"/>
      <c r="X55" s="185"/>
      <c r="Y55" s="185"/>
      <c r="Z55" s="185"/>
      <c r="AA55" s="185"/>
      <c r="AB55" s="185"/>
      <c r="AC55" s="185"/>
      <c r="AD55" s="185"/>
      <c r="AE55" s="185"/>
      <c r="AF55" s="185"/>
      <c r="AG55" s="185"/>
      <c r="AH55" s="185"/>
      <c r="AI55" s="185"/>
      <c r="AJ55" s="185"/>
      <c r="AK55" s="185"/>
      <c r="AL55" s="185"/>
      <c r="AM55" s="186"/>
      <c r="AN55" s="165" t="s">
        <v>144</v>
      </c>
      <c r="AO55" s="114"/>
      <c r="AP55" s="114"/>
      <c r="AQ55" s="114"/>
      <c r="AR55" s="114"/>
      <c r="AS55" s="114"/>
      <c r="AT55" s="114"/>
      <c r="AU55" s="62" t="s">
        <v>41</v>
      </c>
      <c r="AV55" s="63"/>
      <c r="AW55" s="64"/>
      <c r="AX55" s="62"/>
      <c r="AY55" s="62"/>
      <c r="AZ55" s="62"/>
      <c r="BA55" s="62"/>
      <c r="BB55" s="62"/>
      <c r="BC55" s="62" t="s">
        <v>40</v>
      </c>
      <c r="BD55" s="62" t="s">
        <v>40</v>
      </c>
      <c r="BE55" s="62" t="s">
        <v>41</v>
      </c>
      <c r="BF55" s="63"/>
      <c r="BG55" s="65" t="s">
        <v>128</v>
      </c>
      <c r="BH55" s="66"/>
      <c r="BI55" s="66"/>
      <c r="BJ55" s="66"/>
      <c r="BK55" s="66"/>
      <c r="BL55" s="67"/>
      <c r="BM55" s="52"/>
      <c r="BO55" s="74" t="e">
        <f>IF(#REF!="●",SUM(DATEDIF($C55,$C56,"M"),1),"")</f>
        <v>#REF!</v>
      </c>
      <c r="BP55" s="75">
        <f>IF(AU55="●",SUM(DATEDIF($C55,$C56,"M"),1),"")</f>
        <v>5</v>
      </c>
      <c r="BQ55" s="54" t="str">
        <f>IF(AV55="●",SUM(DATEDIF($C55,$C56,"M"),1),"")</f>
        <v/>
      </c>
      <c r="BR55" s="74" t="str">
        <f t="shared" ref="BR55" si="6">IF(BR$38=$S55,SUM(DATEDIF($C55,$C56,"M"),1),"")</f>
        <v/>
      </c>
      <c r="BS55" s="75" t="str">
        <f t="shared" ref="BS55" si="7">IF(BS$38=$S55,SUM(DATEDIF($C55,$C56,"M"),1),"")</f>
        <v/>
      </c>
      <c r="BT55" s="75" t="str">
        <f t="shared" ref="BT55" si="8">IF(BT$38=$S55,SUM(DATEDIF($C55,$C56,"M"),1),"")</f>
        <v/>
      </c>
      <c r="BU55" s="75">
        <f t="shared" ref="BU55" si="9">IF(BU$38=$S55,SUM(DATEDIF($C55,$C56,"M"),1),"")</f>
        <v>5</v>
      </c>
      <c r="BV55" s="75" t="str">
        <f t="shared" ref="BV55" si="10">IF(BV$38=$S55,SUM(DATEDIF($C55,$C56,"M"),1),"")</f>
        <v/>
      </c>
      <c r="BW55" s="54" t="str">
        <f t="shared" ref="BW55" si="11">IF(BW$38=$S55,SUM(DATEDIF($C55,$C56,"M"),1),"")</f>
        <v/>
      </c>
      <c r="BX55" s="38"/>
      <c r="BY55" s="55">
        <f t="shared" ref="BY55" si="12">SUM(BR55:BW57)</f>
        <v>5</v>
      </c>
      <c r="BZ55" s="55" t="str">
        <f>C57</f>
        <v>&lt;5ヶ月&gt;</v>
      </c>
    </row>
    <row r="56" spans="1:78" s="3" customFormat="1" ht="18.649999999999999" customHeight="1" x14ac:dyDescent="0.2">
      <c r="A56" s="106"/>
      <c r="B56" s="107"/>
      <c r="C56" s="56">
        <v>44196</v>
      </c>
      <c r="D56" s="57"/>
      <c r="E56" s="57"/>
      <c r="F56" s="58"/>
      <c r="G56" s="114"/>
      <c r="H56" s="114"/>
      <c r="I56" s="114"/>
      <c r="J56" s="115"/>
      <c r="K56" s="116"/>
      <c r="L56" s="116"/>
      <c r="M56" s="116"/>
      <c r="N56" s="116"/>
      <c r="O56" s="117"/>
      <c r="P56" s="121"/>
      <c r="Q56" s="122"/>
      <c r="R56" s="123"/>
      <c r="S56" s="128"/>
      <c r="T56" s="128"/>
      <c r="U56" s="128"/>
      <c r="V56" s="129"/>
      <c r="W56" s="130"/>
      <c r="X56" s="130"/>
      <c r="Y56" s="130"/>
      <c r="Z56" s="130"/>
      <c r="AA56" s="130"/>
      <c r="AB56" s="130"/>
      <c r="AC56" s="130"/>
      <c r="AD56" s="130"/>
      <c r="AE56" s="130"/>
      <c r="AF56" s="130"/>
      <c r="AG56" s="130"/>
      <c r="AH56" s="130"/>
      <c r="AI56" s="130"/>
      <c r="AJ56" s="130"/>
      <c r="AK56" s="130"/>
      <c r="AL56" s="130"/>
      <c r="AM56" s="131"/>
      <c r="AN56" s="114"/>
      <c r="AO56" s="114"/>
      <c r="AP56" s="114"/>
      <c r="AQ56" s="114"/>
      <c r="AR56" s="114"/>
      <c r="AS56" s="114"/>
      <c r="AT56" s="114"/>
      <c r="AU56" s="62"/>
      <c r="AV56" s="63"/>
      <c r="AW56" s="64"/>
      <c r="AX56" s="62"/>
      <c r="AY56" s="62"/>
      <c r="AZ56" s="62"/>
      <c r="BA56" s="62"/>
      <c r="BB56" s="62"/>
      <c r="BC56" s="62"/>
      <c r="BD56" s="62"/>
      <c r="BE56" s="62"/>
      <c r="BF56" s="63"/>
      <c r="BG56" s="68"/>
      <c r="BH56" s="69"/>
      <c r="BI56" s="69"/>
      <c r="BJ56" s="69"/>
      <c r="BK56" s="69"/>
      <c r="BL56" s="70"/>
      <c r="BM56" s="52"/>
      <c r="BO56" s="74"/>
      <c r="BP56" s="75"/>
      <c r="BQ56" s="54"/>
      <c r="BR56" s="74"/>
      <c r="BS56" s="75"/>
      <c r="BT56" s="75"/>
      <c r="BU56" s="75"/>
      <c r="BV56" s="75"/>
      <c r="BW56" s="54"/>
      <c r="BX56" s="38"/>
      <c r="BY56" s="55"/>
      <c r="BZ56" s="55"/>
    </row>
    <row r="57" spans="1:78" s="3" customFormat="1" ht="43.5" customHeight="1" x14ac:dyDescent="0.2">
      <c r="A57" s="108"/>
      <c r="B57" s="109"/>
      <c r="C57" s="59" t="str">
        <f>CONCATENATE("&lt;",SUM(DATEDIF(C55,C56,"M"),1),"ヶ月&gt;")</f>
        <v>&lt;5ヶ月&gt;</v>
      </c>
      <c r="D57" s="60"/>
      <c r="E57" s="60"/>
      <c r="F57" s="61"/>
      <c r="G57" s="114"/>
      <c r="H57" s="114"/>
      <c r="I57" s="114"/>
      <c r="J57" s="118"/>
      <c r="K57" s="119"/>
      <c r="L57" s="119"/>
      <c r="M57" s="119"/>
      <c r="N57" s="119"/>
      <c r="O57" s="120"/>
      <c r="P57" s="124"/>
      <c r="Q57" s="125"/>
      <c r="R57" s="126"/>
      <c r="S57" s="128"/>
      <c r="T57" s="128"/>
      <c r="U57" s="128"/>
      <c r="V57" s="132"/>
      <c r="W57" s="133"/>
      <c r="X57" s="133"/>
      <c r="Y57" s="133"/>
      <c r="Z57" s="133"/>
      <c r="AA57" s="133"/>
      <c r="AB57" s="133"/>
      <c r="AC57" s="133"/>
      <c r="AD57" s="133"/>
      <c r="AE57" s="133"/>
      <c r="AF57" s="133"/>
      <c r="AG57" s="133"/>
      <c r="AH57" s="133"/>
      <c r="AI57" s="133"/>
      <c r="AJ57" s="133"/>
      <c r="AK57" s="133"/>
      <c r="AL57" s="133"/>
      <c r="AM57" s="134"/>
      <c r="AN57" s="114"/>
      <c r="AO57" s="114"/>
      <c r="AP57" s="114"/>
      <c r="AQ57" s="114"/>
      <c r="AR57" s="114"/>
      <c r="AS57" s="114"/>
      <c r="AT57" s="114"/>
      <c r="AU57" s="62"/>
      <c r="AV57" s="63"/>
      <c r="AW57" s="64"/>
      <c r="AX57" s="62"/>
      <c r="AY57" s="62"/>
      <c r="AZ57" s="62"/>
      <c r="BA57" s="62"/>
      <c r="BB57" s="62"/>
      <c r="BC57" s="62"/>
      <c r="BD57" s="62"/>
      <c r="BE57" s="62"/>
      <c r="BF57" s="63"/>
      <c r="BG57" s="71"/>
      <c r="BH57" s="72"/>
      <c r="BI57" s="72"/>
      <c r="BJ57" s="72"/>
      <c r="BK57" s="72"/>
      <c r="BL57" s="73"/>
      <c r="BM57" s="52"/>
      <c r="BO57" s="74"/>
      <c r="BP57" s="75"/>
      <c r="BQ57" s="54"/>
      <c r="BR57" s="74"/>
      <c r="BS57" s="75"/>
      <c r="BT57" s="75"/>
      <c r="BU57" s="75"/>
      <c r="BV57" s="75"/>
      <c r="BW57" s="54"/>
      <c r="BX57" s="38"/>
      <c r="BY57" s="55"/>
      <c r="BZ57" s="55"/>
    </row>
    <row r="58" spans="1:78" s="3" customFormat="1" ht="18.649999999999999" customHeight="1" x14ac:dyDescent="0.2">
      <c r="A58" s="104">
        <f t="shared" ref="A58" si="13">A61+1</f>
        <v>38</v>
      </c>
      <c r="B58" s="105"/>
      <c r="C58" s="110">
        <v>43952</v>
      </c>
      <c r="D58" s="111"/>
      <c r="E58" s="111"/>
      <c r="F58" s="111"/>
      <c r="G58" s="165" t="s">
        <v>145</v>
      </c>
      <c r="H58" s="114"/>
      <c r="I58" s="114"/>
      <c r="J58" s="168" t="s">
        <v>146</v>
      </c>
      <c r="K58" s="169"/>
      <c r="L58" s="169"/>
      <c r="M58" s="169"/>
      <c r="N58" s="169"/>
      <c r="O58" s="170"/>
      <c r="P58" s="114">
        <v>150</v>
      </c>
      <c r="Q58" s="114"/>
      <c r="R58" s="114"/>
      <c r="S58" s="128" t="s">
        <v>123</v>
      </c>
      <c r="T58" s="128"/>
      <c r="U58" s="128"/>
      <c r="V58" s="184" t="s">
        <v>147</v>
      </c>
      <c r="W58" s="185"/>
      <c r="X58" s="185"/>
      <c r="Y58" s="185"/>
      <c r="Z58" s="185"/>
      <c r="AA58" s="185"/>
      <c r="AB58" s="185"/>
      <c r="AC58" s="185"/>
      <c r="AD58" s="185"/>
      <c r="AE58" s="185"/>
      <c r="AF58" s="185"/>
      <c r="AG58" s="185"/>
      <c r="AH58" s="185"/>
      <c r="AI58" s="185"/>
      <c r="AJ58" s="185"/>
      <c r="AK58" s="185"/>
      <c r="AL58" s="185"/>
      <c r="AM58" s="186"/>
      <c r="AN58" s="165" t="s">
        <v>148</v>
      </c>
      <c r="AO58" s="114"/>
      <c r="AP58" s="114"/>
      <c r="AQ58" s="114"/>
      <c r="AR58" s="114"/>
      <c r="AS58" s="114"/>
      <c r="AT58" s="114"/>
      <c r="AU58" s="62" t="s">
        <v>41</v>
      </c>
      <c r="AV58" s="63"/>
      <c r="AW58" s="64"/>
      <c r="AX58" s="62"/>
      <c r="AY58" s="62"/>
      <c r="AZ58" s="62"/>
      <c r="BA58" s="62"/>
      <c r="BB58" s="62" t="s">
        <v>40</v>
      </c>
      <c r="BC58" s="62" t="s">
        <v>40</v>
      </c>
      <c r="BD58" s="62" t="s">
        <v>40</v>
      </c>
      <c r="BE58" s="62"/>
      <c r="BF58" s="63"/>
      <c r="BG58" s="65" t="s">
        <v>128</v>
      </c>
      <c r="BH58" s="66"/>
      <c r="BI58" s="66"/>
      <c r="BJ58" s="66"/>
      <c r="BK58" s="66"/>
      <c r="BL58" s="67"/>
      <c r="BM58" s="52"/>
      <c r="BO58" s="74" t="e">
        <f>IF(#REF!="●",SUM(DATEDIF($C58,$C59,"M"),1),"")</f>
        <v>#REF!</v>
      </c>
      <c r="BP58" s="75">
        <f>IF(AU58="●",SUM(DATEDIF($C58,$C59,"M"),1),"")</f>
        <v>3</v>
      </c>
      <c r="BQ58" s="54" t="str">
        <f>IF(AV58="●",SUM(DATEDIF($C58,$C59,"M"),1),"")</f>
        <v/>
      </c>
      <c r="BR58" s="74" t="str">
        <f t="shared" ref="BR58" si="14">IF(BR$38=$S58,SUM(DATEDIF($C58,$C59,"M"),1),"")</f>
        <v/>
      </c>
      <c r="BS58" s="75" t="str">
        <f t="shared" ref="BS58" si="15">IF(BS$38=$S58,SUM(DATEDIF($C58,$C59,"M"),1),"")</f>
        <v/>
      </c>
      <c r="BT58" s="75">
        <f t="shared" ref="BT58" si="16">IF(BT$38=$S58,SUM(DATEDIF($C58,$C59,"M"),1),"")</f>
        <v>3</v>
      </c>
      <c r="BU58" s="75" t="str">
        <f t="shared" ref="BU58" si="17">IF(BU$38=$S58,SUM(DATEDIF($C58,$C59,"M"),1),"")</f>
        <v/>
      </c>
      <c r="BV58" s="75" t="str">
        <f t="shared" ref="BV58" si="18">IF(BV$38=$S58,SUM(DATEDIF($C58,$C59,"M"),1),"")</f>
        <v/>
      </c>
      <c r="BW58" s="54" t="str">
        <f t="shared" ref="BW58" si="19">IF(BW$38=$S58,SUM(DATEDIF($C58,$C59,"M"),1),"")</f>
        <v/>
      </c>
      <c r="BX58" s="38"/>
      <c r="BY58" s="55">
        <f t="shared" ref="BY58" si="20">SUM(BR58:BW60)</f>
        <v>3</v>
      </c>
      <c r="BZ58" s="55" t="str">
        <f>C60</f>
        <v>&lt;3ヶ月&gt;</v>
      </c>
    </row>
    <row r="59" spans="1:78" s="3" customFormat="1" ht="18.649999999999999" customHeight="1" x14ac:dyDescent="0.2">
      <c r="A59" s="106"/>
      <c r="B59" s="107"/>
      <c r="C59" s="56">
        <v>44043</v>
      </c>
      <c r="D59" s="57"/>
      <c r="E59" s="57"/>
      <c r="F59" s="58"/>
      <c r="G59" s="114"/>
      <c r="H59" s="114"/>
      <c r="I59" s="114"/>
      <c r="J59" s="115"/>
      <c r="K59" s="116"/>
      <c r="L59" s="116"/>
      <c r="M59" s="116"/>
      <c r="N59" s="116"/>
      <c r="O59" s="117"/>
      <c r="P59" s="114"/>
      <c r="Q59" s="114"/>
      <c r="R59" s="114"/>
      <c r="S59" s="128"/>
      <c r="T59" s="128"/>
      <c r="U59" s="128"/>
      <c r="V59" s="129"/>
      <c r="W59" s="130"/>
      <c r="X59" s="130"/>
      <c r="Y59" s="130"/>
      <c r="Z59" s="130"/>
      <c r="AA59" s="130"/>
      <c r="AB59" s="130"/>
      <c r="AC59" s="130"/>
      <c r="AD59" s="130"/>
      <c r="AE59" s="130"/>
      <c r="AF59" s="130"/>
      <c r="AG59" s="130"/>
      <c r="AH59" s="130"/>
      <c r="AI59" s="130"/>
      <c r="AJ59" s="130"/>
      <c r="AK59" s="130"/>
      <c r="AL59" s="130"/>
      <c r="AM59" s="131"/>
      <c r="AN59" s="114"/>
      <c r="AO59" s="114"/>
      <c r="AP59" s="114"/>
      <c r="AQ59" s="114"/>
      <c r="AR59" s="114"/>
      <c r="AS59" s="114"/>
      <c r="AT59" s="114"/>
      <c r="AU59" s="62"/>
      <c r="AV59" s="63"/>
      <c r="AW59" s="64"/>
      <c r="AX59" s="62"/>
      <c r="AY59" s="62"/>
      <c r="AZ59" s="62"/>
      <c r="BA59" s="62"/>
      <c r="BB59" s="62"/>
      <c r="BC59" s="62"/>
      <c r="BD59" s="62"/>
      <c r="BE59" s="62"/>
      <c r="BF59" s="63"/>
      <c r="BG59" s="68"/>
      <c r="BH59" s="69"/>
      <c r="BI59" s="69"/>
      <c r="BJ59" s="69"/>
      <c r="BK59" s="69"/>
      <c r="BL59" s="70"/>
      <c r="BM59" s="52"/>
      <c r="BO59" s="74"/>
      <c r="BP59" s="75"/>
      <c r="BQ59" s="54"/>
      <c r="BR59" s="74"/>
      <c r="BS59" s="75"/>
      <c r="BT59" s="75"/>
      <c r="BU59" s="75"/>
      <c r="BV59" s="75"/>
      <c r="BW59" s="54"/>
      <c r="BX59" s="38"/>
      <c r="BY59" s="55"/>
      <c r="BZ59" s="55"/>
    </row>
    <row r="60" spans="1:78" s="3" customFormat="1" ht="39.75" customHeight="1" x14ac:dyDescent="0.2">
      <c r="A60" s="108"/>
      <c r="B60" s="109"/>
      <c r="C60" s="59" t="str">
        <f>CONCATENATE("&lt;",SUM(DATEDIF(C58,C59,"M"),1),"ヶ月&gt;")</f>
        <v>&lt;3ヶ月&gt;</v>
      </c>
      <c r="D60" s="60"/>
      <c r="E60" s="60"/>
      <c r="F60" s="61"/>
      <c r="G60" s="114"/>
      <c r="H60" s="114"/>
      <c r="I60" s="114"/>
      <c r="J60" s="118"/>
      <c r="K60" s="119"/>
      <c r="L60" s="119"/>
      <c r="M60" s="119"/>
      <c r="N60" s="119"/>
      <c r="O60" s="120"/>
      <c r="P60" s="114"/>
      <c r="Q60" s="114"/>
      <c r="R60" s="114"/>
      <c r="S60" s="128"/>
      <c r="T60" s="128"/>
      <c r="U60" s="128"/>
      <c r="V60" s="132"/>
      <c r="W60" s="133"/>
      <c r="X60" s="133"/>
      <c r="Y60" s="133"/>
      <c r="Z60" s="133"/>
      <c r="AA60" s="133"/>
      <c r="AB60" s="133"/>
      <c r="AC60" s="133"/>
      <c r="AD60" s="133"/>
      <c r="AE60" s="133"/>
      <c r="AF60" s="133"/>
      <c r="AG60" s="133"/>
      <c r="AH60" s="133"/>
      <c r="AI60" s="133"/>
      <c r="AJ60" s="133"/>
      <c r="AK60" s="133"/>
      <c r="AL60" s="133"/>
      <c r="AM60" s="134"/>
      <c r="AN60" s="114"/>
      <c r="AO60" s="114"/>
      <c r="AP60" s="114"/>
      <c r="AQ60" s="114"/>
      <c r="AR60" s="114"/>
      <c r="AS60" s="114"/>
      <c r="AT60" s="114"/>
      <c r="AU60" s="62"/>
      <c r="AV60" s="63"/>
      <c r="AW60" s="64"/>
      <c r="AX60" s="62"/>
      <c r="AY60" s="62"/>
      <c r="AZ60" s="62"/>
      <c r="BA60" s="62"/>
      <c r="BB60" s="62"/>
      <c r="BC60" s="62"/>
      <c r="BD60" s="62"/>
      <c r="BE60" s="62"/>
      <c r="BF60" s="63"/>
      <c r="BG60" s="71"/>
      <c r="BH60" s="72"/>
      <c r="BI60" s="72"/>
      <c r="BJ60" s="72"/>
      <c r="BK60" s="72"/>
      <c r="BL60" s="73"/>
      <c r="BM60" s="52"/>
      <c r="BO60" s="74"/>
      <c r="BP60" s="75"/>
      <c r="BQ60" s="54"/>
      <c r="BR60" s="74"/>
      <c r="BS60" s="75"/>
      <c r="BT60" s="75"/>
      <c r="BU60" s="75"/>
      <c r="BV60" s="75"/>
      <c r="BW60" s="54"/>
      <c r="BX60" s="38"/>
      <c r="BY60" s="55"/>
      <c r="BZ60" s="55"/>
    </row>
    <row r="61" spans="1:78" s="3" customFormat="1" ht="18.649999999999999" customHeight="1" x14ac:dyDescent="0.2">
      <c r="A61" s="104">
        <f t="shared" ref="A61" si="21">A64+1</f>
        <v>37</v>
      </c>
      <c r="B61" s="105"/>
      <c r="C61" s="179">
        <v>43834</v>
      </c>
      <c r="D61" s="180"/>
      <c r="E61" s="180"/>
      <c r="F61" s="180"/>
      <c r="G61" s="165" t="s">
        <v>149</v>
      </c>
      <c r="H61" s="114"/>
      <c r="I61" s="114"/>
      <c r="J61" s="168" t="s">
        <v>150</v>
      </c>
      <c r="K61" s="169"/>
      <c r="L61" s="169"/>
      <c r="M61" s="169"/>
      <c r="N61" s="169"/>
      <c r="O61" s="170"/>
      <c r="P61" s="114">
        <v>30</v>
      </c>
      <c r="Q61" s="114"/>
      <c r="R61" s="114"/>
      <c r="S61" s="128" t="s">
        <v>127</v>
      </c>
      <c r="T61" s="128"/>
      <c r="U61" s="128"/>
      <c r="V61" s="184" t="s">
        <v>151</v>
      </c>
      <c r="W61" s="185"/>
      <c r="X61" s="185"/>
      <c r="Y61" s="185"/>
      <c r="Z61" s="185"/>
      <c r="AA61" s="185"/>
      <c r="AB61" s="185"/>
      <c r="AC61" s="185"/>
      <c r="AD61" s="185"/>
      <c r="AE61" s="185"/>
      <c r="AF61" s="185"/>
      <c r="AG61" s="185"/>
      <c r="AH61" s="185"/>
      <c r="AI61" s="185"/>
      <c r="AJ61" s="185"/>
      <c r="AK61" s="185"/>
      <c r="AL61" s="185"/>
      <c r="AM61" s="186"/>
      <c r="AN61" s="165" t="s">
        <v>152</v>
      </c>
      <c r="AO61" s="114"/>
      <c r="AP61" s="114"/>
      <c r="AQ61" s="114"/>
      <c r="AR61" s="114"/>
      <c r="AS61" s="114"/>
      <c r="AT61" s="114"/>
      <c r="AU61" s="62" t="s">
        <v>41</v>
      </c>
      <c r="AV61" s="63"/>
      <c r="AW61" s="64" t="s">
        <v>40</v>
      </c>
      <c r="AX61" s="62" t="s">
        <v>40</v>
      </c>
      <c r="AY61" s="62"/>
      <c r="AZ61" s="62"/>
      <c r="BA61" s="62"/>
      <c r="BB61" s="62"/>
      <c r="BC61" s="62"/>
      <c r="BD61" s="62"/>
      <c r="BE61" s="62"/>
      <c r="BF61" s="63"/>
      <c r="BG61" s="65" t="s">
        <v>128</v>
      </c>
      <c r="BH61" s="66"/>
      <c r="BI61" s="66"/>
      <c r="BJ61" s="66"/>
      <c r="BK61" s="66"/>
      <c r="BL61" s="67"/>
      <c r="BM61" s="52"/>
      <c r="BO61" s="74" t="e">
        <f>IF(#REF!="●",SUM(DATEDIF($C61,$C62,"M"),1),"")</f>
        <v>#REF!</v>
      </c>
      <c r="BP61" s="75">
        <f>IF(AU61="●",SUM(DATEDIF($C61,$C62,"M"),1),"")</f>
        <v>4</v>
      </c>
      <c r="BQ61" s="54" t="str">
        <f>IF(AV61="●",SUM(DATEDIF($C61,$C62,"M"),1),"")</f>
        <v/>
      </c>
      <c r="BR61" s="74">
        <f t="shared" ref="BR61" si="22">IF(BR$38=$S61,SUM(DATEDIF($C61,$C62,"M"),1),"")</f>
        <v>4</v>
      </c>
      <c r="BS61" s="75" t="str">
        <f t="shared" ref="BS61" si="23">IF(BS$38=$S61,SUM(DATEDIF($C61,$C62,"M"),1),"")</f>
        <v/>
      </c>
      <c r="BT61" s="75" t="str">
        <f t="shared" ref="BT61" si="24">IF(BT$38=$S61,SUM(DATEDIF($C61,$C62,"M"),1),"")</f>
        <v/>
      </c>
      <c r="BU61" s="75" t="str">
        <f t="shared" ref="BU61" si="25">IF(BU$38=$S61,SUM(DATEDIF($C61,$C62,"M"),1),"")</f>
        <v/>
      </c>
      <c r="BV61" s="75" t="str">
        <f t="shared" ref="BV61" si="26">IF(BV$38=$S61,SUM(DATEDIF($C61,$C62,"M"),1),"")</f>
        <v/>
      </c>
      <c r="BW61" s="54" t="str">
        <f t="shared" ref="BW61" si="27">IF(BW$38=$S61,SUM(DATEDIF($C61,$C62,"M"),1),"")</f>
        <v/>
      </c>
      <c r="BX61" s="38"/>
      <c r="BY61" s="55">
        <f t="shared" ref="BY61" si="28">SUM(BR61:BW63)</f>
        <v>4</v>
      </c>
      <c r="BZ61" s="55" t="str">
        <f>C63</f>
        <v>&lt;4ヶ月&gt;</v>
      </c>
    </row>
    <row r="62" spans="1:78" s="3" customFormat="1" ht="18.649999999999999" customHeight="1" x14ac:dyDescent="0.2">
      <c r="A62" s="106"/>
      <c r="B62" s="107"/>
      <c r="C62" s="56">
        <v>43951</v>
      </c>
      <c r="D62" s="57"/>
      <c r="E62" s="57"/>
      <c r="F62" s="58"/>
      <c r="G62" s="114"/>
      <c r="H62" s="114"/>
      <c r="I62" s="114"/>
      <c r="J62" s="115"/>
      <c r="K62" s="116"/>
      <c r="L62" s="116"/>
      <c r="M62" s="116"/>
      <c r="N62" s="116"/>
      <c r="O62" s="117"/>
      <c r="P62" s="114"/>
      <c r="Q62" s="114"/>
      <c r="R62" s="114"/>
      <c r="S62" s="128"/>
      <c r="T62" s="128"/>
      <c r="U62" s="128"/>
      <c r="V62" s="129"/>
      <c r="W62" s="130"/>
      <c r="X62" s="130"/>
      <c r="Y62" s="130"/>
      <c r="Z62" s="130"/>
      <c r="AA62" s="130"/>
      <c r="AB62" s="130"/>
      <c r="AC62" s="130"/>
      <c r="AD62" s="130"/>
      <c r="AE62" s="130"/>
      <c r="AF62" s="130"/>
      <c r="AG62" s="130"/>
      <c r="AH62" s="130"/>
      <c r="AI62" s="130"/>
      <c r="AJ62" s="130"/>
      <c r="AK62" s="130"/>
      <c r="AL62" s="130"/>
      <c r="AM62" s="131"/>
      <c r="AN62" s="114"/>
      <c r="AO62" s="114"/>
      <c r="AP62" s="114"/>
      <c r="AQ62" s="114"/>
      <c r="AR62" s="114"/>
      <c r="AS62" s="114"/>
      <c r="AT62" s="114"/>
      <c r="AU62" s="62"/>
      <c r="AV62" s="63"/>
      <c r="AW62" s="64"/>
      <c r="AX62" s="62"/>
      <c r="AY62" s="62"/>
      <c r="AZ62" s="62"/>
      <c r="BA62" s="62"/>
      <c r="BB62" s="62"/>
      <c r="BC62" s="62"/>
      <c r="BD62" s="62"/>
      <c r="BE62" s="62"/>
      <c r="BF62" s="63"/>
      <c r="BG62" s="68"/>
      <c r="BH62" s="69"/>
      <c r="BI62" s="69"/>
      <c r="BJ62" s="69"/>
      <c r="BK62" s="69"/>
      <c r="BL62" s="70"/>
      <c r="BM62" s="52"/>
      <c r="BO62" s="74"/>
      <c r="BP62" s="75"/>
      <c r="BQ62" s="54"/>
      <c r="BR62" s="74"/>
      <c r="BS62" s="75"/>
      <c r="BT62" s="75"/>
      <c r="BU62" s="75"/>
      <c r="BV62" s="75"/>
      <c r="BW62" s="54"/>
      <c r="BX62" s="38"/>
      <c r="BY62" s="55"/>
      <c r="BZ62" s="55"/>
    </row>
    <row r="63" spans="1:78" s="3" customFormat="1" ht="26.25" customHeight="1" x14ac:dyDescent="0.2">
      <c r="A63" s="108"/>
      <c r="B63" s="109"/>
      <c r="C63" s="59" t="str">
        <f t="shared" ref="C63" si="29">CONCATENATE("&lt;",SUM(DATEDIF(C61,C62,"M"),1),"ヶ月&gt;")</f>
        <v>&lt;4ヶ月&gt;</v>
      </c>
      <c r="D63" s="60"/>
      <c r="E63" s="60"/>
      <c r="F63" s="61"/>
      <c r="G63" s="114"/>
      <c r="H63" s="114"/>
      <c r="I63" s="114"/>
      <c r="J63" s="118"/>
      <c r="K63" s="119"/>
      <c r="L63" s="119"/>
      <c r="M63" s="119"/>
      <c r="N63" s="119"/>
      <c r="O63" s="120"/>
      <c r="P63" s="114"/>
      <c r="Q63" s="114"/>
      <c r="R63" s="114"/>
      <c r="S63" s="128"/>
      <c r="T63" s="128"/>
      <c r="U63" s="128"/>
      <c r="V63" s="132"/>
      <c r="W63" s="133"/>
      <c r="X63" s="133"/>
      <c r="Y63" s="133"/>
      <c r="Z63" s="133"/>
      <c r="AA63" s="133"/>
      <c r="AB63" s="133"/>
      <c r="AC63" s="133"/>
      <c r="AD63" s="133"/>
      <c r="AE63" s="133"/>
      <c r="AF63" s="133"/>
      <c r="AG63" s="133"/>
      <c r="AH63" s="133"/>
      <c r="AI63" s="133"/>
      <c r="AJ63" s="133"/>
      <c r="AK63" s="133"/>
      <c r="AL63" s="133"/>
      <c r="AM63" s="134"/>
      <c r="AN63" s="114"/>
      <c r="AO63" s="114"/>
      <c r="AP63" s="114"/>
      <c r="AQ63" s="114"/>
      <c r="AR63" s="114"/>
      <c r="AS63" s="114"/>
      <c r="AT63" s="114"/>
      <c r="AU63" s="62"/>
      <c r="AV63" s="63"/>
      <c r="AW63" s="64"/>
      <c r="AX63" s="62"/>
      <c r="AY63" s="62"/>
      <c r="AZ63" s="62"/>
      <c r="BA63" s="62"/>
      <c r="BB63" s="62"/>
      <c r="BC63" s="62"/>
      <c r="BD63" s="62"/>
      <c r="BE63" s="62"/>
      <c r="BF63" s="63"/>
      <c r="BG63" s="71"/>
      <c r="BH63" s="72"/>
      <c r="BI63" s="72"/>
      <c r="BJ63" s="72"/>
      <c r="BK63" s="72"/>
      <c r="BL63" s="73"/>
      <c r="BM63" s="52"/>
      <c r="BO63" s="74"/>
      <c r="BP63" s="75"/>
      <c r="BQ63" s="54"/>
      <c r="BR63" s="74"/>
      <c r="BS63" s="75"/>
      <c r="BT63" s="75"/>
      <c r="BU63" s="75"/>
      <c r="BV63" s="75"/>
      <c r="BW63" s="54"/>
      <c r="BX63" s="38"/>
      <c r="BY63" s="55"/>
      <c r="BZ63" s="55"/>
    </row>
    <row r="64" spans="1:78" s="3" customFormat="1" ht="18.649999999999999" customHeight="1" x14ac:dyDescent="0.2">
      <c r="A64" s="104">
        <f t="shared" ref="A64" si="30">A67+1</f>
        <v>36</v>
      </c>
      <c r="B64" s="105"/>
      <c r="C64" s="179">
        <v>43469</v>
      </c>
      <c r="D64" s="180"/>
      <c r="E64" s="180"/>
      <c r="F64" s="180"/>
      <c r="G64" s="165" t="s">
        <v>153</v>
      </c>
      <c r="H64" s="114"/>
      <c r="I64" s="114"/>
      <c r="J64" s="168" t="s">
        <v>154</v>
      </c>
      <c r="K64" s="169"/>
      <c r="L64" s="169"/>
      <c r="M64" s="169"/>
      <c r="N64" s="169"/>
      <c r="O64" s="170"/>
      <c r="P64" s="114">
        <v>100</v>
      </c>
      <c r="Q64" s="114"/>
      <c r="R64" s="114"/>
      <c r="S64" s="128" t="s">
        <v>155</v>
      </c>
      <c r="T64" s="128"/>
      <c r="U64" s="128"/>
      <c r="V64" s="184" t="s">
        <v>156</v>
      </c>
      <c r="W64" s="185"/>
      <c r="X64" s="185"/>
      <c r="Y64" s="185"/>
      <c r="Z64" s="185"/>
      <c r="AA64" s="185"/>
      <c r="AB64" s="185"/>
      <c r="AC64" s="185"/>
      <c r="AD64" s="185"/>
      <c r="AE64" s="185"/>
      <c r="AF64" s="185"/>
      <c r="AG64" s="185"/>
      <c r="AH64" s="185"/>
      <c r="AI64" s="185"/>
      <c r="AJ64" s="185"/>
      <c r="AK64" s="185"/>
      <c r="AL64" s="185"/>
      <c r="AM64" s="186"/>
      <c r="AN64" s="165" t="s">
        <v>157</v>
      </c>
      <c r="AO64" s="114"/>
      <c r="AP64" s="114"/>
      <c r="AQ64" s="114"/>
      <c r="AR64" s="114"/>
      <c r="AS64" s="114"/>
      <c r="AT64" s="114"/>
      <c r="AU64" s="62" t="s">
        <v>40</v>
      </c>
      <c r="AV64" s="63"/>
      <c r="AW64" s="64"/>
      <c r="AX64" s="62"/>
      <c r="AY64" s="62"/>
      <c r="AZ64" s="62"/>
      <c r="BA64" s="62"/>
      <c r="BB64" s="62"/>
      <c r="BC64" s="62" t="s">
        <v>40</v>
      </c>
      <c r="BD64" s="62" t="s">
        <v>40</v>
      </c>
      <c r="BE64" s="62" t="s">
        <v>40</v>
      </c>
      <c r="BF64" s="63"/>
      <c r="BG64" s="65" t="s">
        <v>158</v>
      </c>
      <c r="BH64" s="66"/>
      <c r="BI64" s="66"/>
      <c r="BJ64" s="66"/>
      <c r="BK64" s="66"/>
      <c r="BL64" s="67"/>
      <c r="BM64" s="52"/>
      <c r="BO64" s="74" t="e">
        <f>IF(#REF!="●",SUM(DATEDIF($C64,$C65,"M"),1),"")</f>
        <v>#REF!</v>
      </c>
      <c r="BP64" s="75">
        <f>IF(AU64="●",SUM(DATEDIF($C64,$C65,"M"),1),"")</f>
        <v>12</v>
      </c>
      <c r="BQ64" s="54" t="str">
        <f>IF(AV64="●",SUM(DATEDIF($C64,$C65,"M"),1),"")</f>
        <v/>
      </c>
      <c r="BR64" s="74" t="str">
        <f t="shared" ref="BR64" si="31">IF(BR$38=$S64,SUM(DATEDIF($C64,$C65,"M"),1),"")</f>
        <v/>
      </c>
      <c r="BS64" s="75" t="str">
        <f t="shared" ref="BS64" si="32">IF(BS$38=$S64,SUM(DATEDIF($C64,$C65,"M"),1),"")</f>
        <v/>
      </c>
      <c r="BT64" s="75">
        <f t="shared" ref="BT64" si="33">IF(BT$38=$S64,SUM(DATEDIF($C64,$C65,"M"),1),"")</f>
        <v>12</v>
      </c>
      <c r="BU64" s="75" t="str">
        <f t="shared" ref="BU64" si="34">IF(BU$38=$S64,SUM(DATEDIF($C64,$C65,"M"),1),"")</f>
        <v/>
      </c>
      <c r="BV64" s="75" t="str">
        <f t="shared" ref="BV64" si="35">IF(BV$38=$S64,SUM(DATEDIF($C64,$C65,"M"),1),"")</f>
        <v/>
      </c>
      <c r="BW64" s="54" t="str">
        <f t="shared" ref="BW64" si="36">IF(BW$38=$S64,SUM(DATEDIF($C64,$C65,"M"),1),"")</f>
        <v/>
      </c>
      <c r="BX64" s="38"/>
      <c r="BY64" s="55">
        <f t="shared" ref="BY64" si="37">SUM(BR64:BW66)</f>
        <v>12</v>
      </c>
      <c r="BZ64" s="55" t="str">
        <f>C66</f>
        <v>&lt;12ヶ月&gt;</v>
      </c>
    </row>
    <row r="65" spans="1:78" s="3" customFormat="1" ht="18.649999999999999" customHeight="1" x14ac:dyDescent="0.2">
      <c r="A65" s="106"/>
      <c r="B65" s="107"/>
      <c r="C65" s="56">
        <v>43827</v>
      </c>
      <c r="D65" s="57"/>
      <c r="E65" s="57"/>
      <c r="F65" s="58"/>
      <c r="G65" s="114"/>
      <c r="H65" s="114"/>
      <c r="I65" s="114"/>
      <c r="J65" s="115"/>
      <c r="K65" s="116"/>
      <c r="L65" s="116"/>
      <c r="M65" s="116"/>
      <c r="N65" s="116"/>
      <c r="O65" s="117"/>
      <c r="P65" s="114"/>
      <c r="Q65" s="114"/>
      <c r="R65" s="114"/>
      <c r="S65" s="128"/>
      <c r="T65" s="128"/>
      <c r="U65" s="128"/>
      <c r="V65" s="129"/>
      <c r="W65" s="130"/>
      <c r="X65" s="130"/>
      <c r="Y65" s="130"/>
      <c r="Z65" s="130"/>
      <c r="AA65" s="130"/>
      <c r="AB65" s="130"/>
      <c r="AC65" s="130"/>
      <c r="AD65" s="130"/>
      <c r="AE65" s="130"/>
      <c r="AF65" s="130"/>
      <c r="AG65" s="130"/>
      <c r="AH65" s="130"/>
      <c r="AI65" s="130"/>
      <c r="AJ65" s="130"/>
      <c r="AK65" s="130"/>
      <c r="AL65" s="130"/>
      <c r="AM65" s="131"/>
      <c r="AN65" s="114"/>
      <c r="AO65" s="114"/>
      <c r="AP65" s="114"/>
      <c r="AQ65" s="114"/>
      <c r="AR65" s="114"/>
      <c r="AS65" s="114"/>
      <c r="AT65" s="114"/>
      <c r="AU65" s="62"/>
      <c r="AV65" s="63"/>
      <c r="AW65" s="64"/>
      <c r="AX65" s="62"/>
      <c r="AY65" s="62"/>
      <c r="AZ65" s="62"/>
      <c r="BA65" s="62"/>
      <c r="BB65" s="62"/>
      <c r="BC65" s="62"/>
      <c r="BD65" s="62"/>
      <c r="BE65" s="62"/>
      <c r="BF65" s="63"/>
      <c r="BG65" s="68"/>
      <c r="BH65" s="69"/>
      <c r="BI65" s="69"/>
      <c r="BJ65" s="69"/>
      <c r="BK65" s="69"/>
      <c r="BL65" s="70"/>
      <c r="BM65" s="52"/>
      <c r="BO65" s="74"/>
      <c r="BP65" s="75"/>
      <c r="BQ65" s="54"/>
      <c r="BR65" s="74"/>
      <c r="BS65" s="75"/>
      <c r="BT65" s="75"/>
      <c r="BU65" s="75"/>
      <c r="BV65" s="75"/>
      <c r="BW65" s="54"/>
      <c r="BX65" s="38"/>
      <c r="BY65" s="55"/>
      <c r="BZ65" s="55"/>
    </row>
    <row r="66" spans="1:78" s="3" customFormat="1" ht="33.65" customHeight="1" x14ac:dyDescent="0.2">
      <c r="A66" s="108"/>
      <c r="B66" s="109"/>
      <c r="C66" s="59" t="str">
        <f t="shared" ref="C66" si="38">CONCATENATE("&lt;",SUM(DATEDIF(C64,C65,"M"),1),"ヶ月&gt;")</f>
        <v>&lt;12ヶ月&gt;</v>
      </c>
      <c r="D66" s="60"/>
      <c r="E66" s="60"/>
      <c r="F66" s="61"/>
      <c r="G66" s="114"/>
      <c r="H66" s="114"/>
      <c r="I66" s="114"/>
      <c r="J66" s="118"/>
      <c r="K66" s="119"/>
      <c r="L66" s="119"/>
      <c r="M66" s="119"/>
      <c r="N66" s="119"/>
      <c r="O66" s="120"/>
      <c r="P66" s="114"/>
      <c r="Q66" s="114"/>
      <c r="R66" s="114"/>
      <c r="S66" s="128"/>
      <c r="T66" s="128"/>
      <c r="U66" s="128"/>
      <c r="V66" s="132"/>
      <c r="W66" s="133"/>
      <c r="X66" s="133"/>
      <c r="Y66" s="133"/>
      <c r="Z66" s="133"/>
      <c r="AA66" s="133"/>
      <c r="AB66" s="133"/>
      <c r="AC66" s="133"/>
      <c r="AD66" s="133"/>
      <c r="AE66" s="133"/>
      <c r="AF66" s="133"/>
      <c r="AG66" s="133"/>
      <c r="AH66" s="133"/>
      <c r="AI66" s="133"/>
      <c r="AJ66" s="133"/>
      <c r="AK66" s="133"/>
      <c r="AL66" s="133"/>
      <c r="AM66" s="134"/>
      <c r="AN66" s="114"/>
      <c r="AO66" s="114"/>
      <c r="AP66" s="114"/>
      <c r="AQ66" s="114"/>
      <c r="AR66" s="114"/>
      <c r="AS66" s="114"/>
      <c r="AT66" s="114"/>
      <c r="AU66" s="62"/>
      <c r="AV66" s="63"/>
      <c r="AW66" s="64"/>
      <c r="AX66" s="62"/>
      <c r="AY66" s="62"/>
      <c r="AZ66" s="62"/>
      <c r="BA66" s="62"/>
      <c r="BB66" s="62"/>
      <c r="BC66" s="62"/>
      <c r="BD66" s="62"/>
      <c r="BE66" s="62"/>
      <c r="BF66" s="63"/>
      <c r="BG66" s="71"/>
      <c r="BH66" s="72"/>
      <c r="BI66" s="72"/>
      <c r="BJ66" s="72"/>
      <c r="BK66" s="72"/>
      <c r="BL66" s="73"/>
      <c r="BM66" s="52"/>
      <c r="BO66" s="74"/>
      <c r="BP66" s="75"/>
      <c r="BQ66" s="54"/>
      <c r="BR66" s="74"/>
      <c r="BS66" s="75"/>
      <c r="BT66" s="75"/>
      <c r="BU66" s="75"/>
      <c r="BV66" s="75"/>
      <c r="BW66" s="54"/>
      <c r="BX66" s="38"/>
      <c r="BY66" s="55"/>
      <c r="BZ66" s="55"/>
    </row>
    <row r="67" spans="1:78" s="3" customFormat="1" ht="18.649999999999999" customHeight="1" x14ac:dyDescent="0.2">
      <c r="A67" s="104">
        <f t="shared" ref="A67" si="39">A70+1</f>
        <v>35</v>
      </c>
      <c r="B67" s="105"/>
      <c r="C67" s="110">
        <v>42856</v>
      </c>
      <c r="D67" s="111"/>
      <c r="E67" s="111"/>
      <c r="F67" s="111"/>
      <c r="G67" s="165" t="s">
        <v>159</v>
      </c>
      <c r="H67" s="114"/>
      <c r="I67" s="114"/>
      <c r="J67" s="168" t="s">
        <v>160</v>
      </c>
      <c r="K67" s="169"/>
      <c r="L67" s="169"/>
      <c r="M67" s="169"/>
      <c r="N67" s="169"/>
      <c r="O67" s="170"/>
      <c r="P67" s="114">
        <v>150</v>
      </c>
      <c r="Q67" s="114"/>
      <c r="R67" s="114"/>
      <c r="S67" s="128" t="s">
        <v>155</v>
      </c>
      <c r="T67" s="128"/>
      <c r="U67" s="128"/>
      <c r="V67" s="184" t="s">
        <v>161</v>
      </c>
      <c r="W67" s="185"/>
      <c r="X67" s="185"/>
      <c r="Y67" s="185"/>
      <c r="Z67" s="185"/>
      <c r="AA67" s="185"/>
      <c r="AB67" s="185"/>
      <c r="AC67" s="185"/>
      <c r="AD67" s="185"/>
      <c r="AE67" s="185"/>
      <c r="AF67" s="185"/>
      <c r="AG67" s="185"/>
      <c r="AH67" s="185"/>
      <c r="AI67" s="185"/>
      <c r="AJ67" s="185"/>
      <c r="AK67" s="185"/>
      <c r="AL67" s="185"/>
      <c r="AM67" s="186"/>
      <c r="AN67" s="165" t="s">
        <v>162</v>
      </c>
      <c r="AO67" s="114"/>
      <c r="AP67" s="114"/>
      <c r="AQ67" s="114"/>
      <c r="AR67" s="114"/>
      <c r="AS67" s="114"/>
      <c r="AT67" s="114"/>
      <c r="AU67" s="62" t="s">
        <v>40</v>
      </c>
      <c r="AV67" s="63"/>
      <c r="AW67" s="64" t="s">
        <v>41</v>
      </c>
      <c r="AX67" s="62"/>
      <c r="AY67" s="62"/>
      <c r="AZ67" s="62"/>
      <c r="BA67" s="62"/>
      <c r="BB67" s="62"/>
      <c r="BC67" s="62"/>
      <c r="BD67" s="62"/>
      <c r="BE67" s="62"/>
      <c r="BF67" s="63" t="s">
        <v>40</v>
      </c>
      <c r="BG67" s="65"/>
      <c r="BH67" s="66"/>
      <c r="BI67" s="66"/>
      <c r="BJ67" s="66"/>
      <c r="BK67" s="66"/>
      <c r="BL67" s="67"/>
      <c r="BM67" s="52"/>
      <c r="BO67" s="74" t="e">
        <f>IF(#REF!="●",SUM(DATEDIF($C67,$C68,"M"),1),"")</f>
        <v>#REF!</v>
      </c>
      <c r="BP67" s="75">
        <f>IF(AU67="●",SUM(DATEDIF($C67,$C68,"M"),1),"")</f>
        <v>20</v>
      </c>
      <c r="BQ67" s="54" t="str">
        <f>IF(AV67="●",SUM(DATEDIF($C67,$C68,"M"),1),"")</f>
        <v/>
      </c>
      <c r="BR67" s="74" t="str">
        <f t="shared" ref="BR67" si="40">IF(BR$38=$S67,SUM(DATEDIF($C67,$C68,"M"),1),"")</f>
        <v/>
      </c>
      <c r="BS67" s="75" t="str">
        <f t="shared" ref="BS67" si="41">IF(BS$38=$S67,SUM(DATEDIF($C67,$C68,"M"),1),"")</f>
        <v/>
      </c>
      <c r="BT67" s="75">
        <f t="shared" ref="BT67" si="42">IF(BT$38=$S67,SUM(DATEDIF($C67,$C68,"M"),1),"")</f>
        <v>20</v>
      </c>
      <c r="BU67" s="75" t="str">
        <f t="shared" ref="BU67" si="43">IF(BU$38=$S67,SUM(DATEDIF($C67,$C68,"M"),1),"")</f>
        <v/>
      </c>
      <c r="BV67" s="75" t="str">
        <f t="shared" ref="BV67" si="44">IF(BV$38=$S67,SUM(DATEDIF($C67,$C68,"M"),1),"")</f>
        <v/>
      </c>
      <c r="BW67" s="54" t="str">
        <f t="shared" ref="BW67" si="45">IF(BW$38=$S67,SUM(DATEDIF($C67,$C68,"M"),1),"")</f>
        <v/>
      </c>
      <c r="BX67" s="38"/>
      <c r="BY67" s="55">
        <f t="shared" ref="BY67" si="46">SUM(BR67:BW69)</f>
        <v>20</v>
      </c>
      <c r="BZ67" s="55" t="str">
        <f>C69</f>
        <v>&lt;20ヶ月&gt;</v>
      </c>
    </row>
    <row r="68" spans="1:78" s="3" customFormat="1" ht="18.649999999999999" customHeight="1" x14ac:dyDescent="0.2">
      <c r="A68" s="106"/>
      <c r="B68" s="107"/>
      <c r="C68" s="56">
        <v>43465</v>
      </c>
      <c r="D68" s="57"/>
      <c r="E68" s="57"/>
      <c r="F68" s="58"/>
      <c r="G68" s="114"/>
      <c r="H68" s="114"/>
      <c r="I68" s="114"/>
      <c r="J68" s="115"/>
      <c r="K68" s="116"/>
      <c r="L68" s="116"/>
      <c r="M68" s="116"/>
      <c r="N68" s="116"/>
      <c r="O68" s="117"/>
      <c r="P68" s="114"/>
      <c r="Q68" s="114"/>
      <c r="R68" s="114"/>
      <c r="S68" s="128"/>
      <c r="T68" s="128"/>
      <c r="U68" s="128"/>
      <c r="V68" s="129"/>
      <c r="W68" s="130"/>
      <c r="X68" s="130"/>
      <c r="Y68" s="130"/>
      <c r="Z68" s="130"/>
      <c r="AA68" s="130"/>
      <c r="AB68" s="130"/>
      <c r="AC68" s="130"/>
      <c r="AD68" s="130"/>
      <c r="AE68" s="130"/>
      <c r="AF68" s="130"/>
      <c r="AG68" s="130"/>
      <c r="AH68" s="130"/>
      <c r="AI68" s="130"/>
      <c r="AJ68" s="130"/>
      <c r="AK68" s="130"/>
      <c r="AL68" s="130"/>
      <c r="AM68" s="131"/>
      <c r="AN68" s="114"/>
      <c r="AO68" s="114"/>
      <c r="AP68" s="114"/>
      <c r="AQ68" s="114"/>
      <c r="AR68" s="114"/>
      <c r="AS68" s="114"/>
      <c r="AT68" s="114"/>
      <c r="AU68" s="62"/>
      <c r="AV68" s="63"/>
      <c r="AW68" s="64"/>
      <c r="AX68" s="62"/>
      <c r="AY68" s="62"/>
      <c r="AZ68" s="62"/>
      <c r="BA68" s="62"/>
      <c r="BB68" s="62"/>
      <c r="BC68" s="62"/>
      <c r="BD68" s="62"/>
      <c r="BE68" s="62"/>
      <c r="BF68" s="63"/>
      <c r="BG68" s="68"/>
      <c r="BH68" s="69"/>
      <c r="BI68" s="69"/>
      <c r="BJ68" s="69"/>
      <c r="BK68" s="69"/>
      <c r="BL68" s="70"/>
      <c r="BM68" s="52"/>
      <c r="BO68" s="74"/>
      <c r="BP68" s="75"/>
      <c r="BQ68" s="54"/>
      <c r="BR68" s="74"/>
      <c r="BS68" s="75"/>
      <c r="BT68" s="75"/>
      <c r="BU68" s="75"/>
      <c r="BV68" s="75"/>
      <c r="BW68" s="54"/>
      <c r="BX68" s="38"/>
      <c r="BY68" s="55"/>
      <c r="BZ68" s="55"/>
    </row>
    <row r="69" spans="1:78" s="3" customFormat="1" ht="59.25" customHeight="1" x14ac:dyDescent="0.2">
      <c r="A69" s="108"/>
      <c r="B69" s="109"/>
      <c r="C69" s="59" t="str">
        <f>CONCATENATE("&lt;",SUM(DATEDIF(C67,C68,"M"),1),"ヶ月&gt;")</f>
        <v>&lt;20ヶ月&gt;</v>
      </c>
      <c r="D69" s="60"/>
      <c r="E69" s="60"/>
      <c r="F69" s="61"/>
      <c r="G69" s="114"/>
      <c r="H69" s="114"/>
      <c r="I69" s="114"/>
      <c r="J69" s="118"/>
      <c r="K69" s="119"/>
      <c r="L69" s="119"/>
      <c r="M69" s="119"/>
      <c r="N69" s="119"/>
      <c r="O69" s="120"/>
      <c r="P69" s="114"/>
      <c r="Q69" s="114"/>
      <c r="R69" s="114"/>
      <c r="S69" s="128"/>
      <c r="T69" s="128"/>
      <c r="U69" s="128"/>
      <c r="V69" s="132"/>
      <c r="W69" s="133"/>
      <c r="X69" s="133"/>
      <c r="Y69" s="133"/>
      <c r="Z69" s="133"/>
      <c r="AA69" s="133"/>
      <c r="AB69" s="133"/>
      <c r="AC69" s="133"/>
      <c r="AD69" s="133"/>
      <c r="AE69" s="133"/>
      <c r="AF69" s="133"/>
      <c r="AG69" s="133"/>
      <c r="AH69" s="133"/>
      <c r="AI69" s="133"/>
      <c r="AJ69" s="133"/>
      <c r="AK69" s="133"/>
      <c r="AL69" s="133"/>
      <c r="AM69" s="134"/>
      <c r="AN69" s="114"/>
      <c r="AO69" s="114"/>
      <c r="AP69" s="114"/>
      <c r="AQ69" s="114"/>
      <c r="AR69" s="114"/>
      <c r="AS69" s="114"/>
      <c r="AT69" s="114"/>
      <c r="AU69" s="62"/>
      <c r="AV69" s="63"/>
      <c r="AW69" s="64"/>
      <c r="AX69" s="62"/>
      <c r="AY69" s="62"/>
      <c r="AZ69" s="62"/>
      <c r="BA69" s="62"/>
      <c r="BB69" s="62"/>
      <c r="BC69" s="62"/>
      <c r="BD69" s="62"/>
      <c r="BE69" s="62"/>
      <c r="BF69" s="63"/>
      <c r="BG69" s="71"/>
      <c r="BH69" s="72"/>
      <c r="BI69" s="72"/>
      <c r="BJ69" s="72"/>
      <c r="BK69" s="72"/>
      <c r="BL69" s="73"/>
      <c r="BM69" s="52"/>
      <c r="BO69" s="74"/>
      <c r="BP69" s="75"/>
      <c r="BQ69" s="54"/>
      <c r="BR69" s="74"/>
      <c r="BS69" s="75"/>
      <c r="BT69" s="75"/>
      <c r="BU69" s="75"/>
      <c r="BV69" s="75"/>
      <c r="BW69" s="54"/>
      <c r="BX69" s="38"/>
      <c r="BY69" s="55"/>
      <c r="BZ69" s="55"/>
    </row>
    <row r="70" spans="1:78" s="3" customFormat="1" ht="18.649999999999999" customHeight="1" x14ac:dyDescent="0.2">
      <c r="A70" s="104">
        <f t="shared" ref="A70" si="47">A73+1</f>
        <v>34</v>
      </c>
      <c r="B70" s="105"/>
      <c r="C70" s="179">
        <v>42430</v>
      </c>
      <c r="D70" s="180"/>
      <c r="E70" s="180"/>
      <c r="F70" s="180"/>
      <c r="G70" s="165" t="s">
        <v>163</v>
      </c>
      <c r="H70" s="114"/>
      <c r="I70" s="114"/>
      <c r="J70" s="168" t="s">
        <v>160</v>
      </c>
      <c r="K70" s="169"/>
      <c r="L70" s="169"/>
      <c r="M70" s="169"/>
      <c r="N70" s="169"/>
      <c r="O70" s="170"/>
      <c r="P70" s="114">
        <v>300</v>
      </c>
      <c r="Q70" s="114"/>
      <c r="R70" s="114"/>
      <c r="S70" s="128" t="s">
        <v>28</v>
      </c>
      <c r="T70" s="128"/>
      <c r="U70" s="128"/>
      <c r="V70" s="184" t="s">
        <v>286</v>
      </c>
      <c r="W70" s="185"/>
      <c r="X70" s="185"/>
      <c r="Y70" s="185"/>
      <c r="Z70" s="185"/>
      <c r="AA70" s="185"/>
      <c r="AB70" s="185"/>
      <c r="AC70" s="185"/>
      <c r="AD70" s="185"/>
      <c r="AE70" s="185"/>
      <c r="AF70" s="185"/>
      <c r="AG70" s="185"/>
      <c r="AH70" s="185"/>
      <c r="AI70" s="185"/>
      <c r="AJ70" s="185"/>
      <c r="AK70" s="185"/>
      <c r="AL70" s="185"/>
      <c r="AM70" s="186"/>
      <c r="AN70" s="165" t="s">
        <v>162</v>
      </c>
      <c r="AO70" s="114"/>
      <c r="AP70" s="114"/>
      <c r="AQ70" s="114"/>
      <c r="AR70" s="114"/>
      <c r="AS70" s="114"/>
      <c r="AT70" s="114"/>
      <c r="AU70" s="62" t="s">
        <v>40</v>
      </c>
      <c r="AV70" s="63"/>
      <c r="AW70" s="64"/>
      <c r="AX70" s="62"/>
      <c r="AY70" s="62"/>
      <c r="AZ70" s="62"/>
      <c r="BA70" s="62"/>
      <c r="BB70" s="62"/>
      <c r="BC70" s="62" t="s">
        <v>41</v>
      </c>
      <c r="BD70" s="62" t="s">
        <v>41</v>
      </c>
      <c r="BE70" s="62"/>
      <c r="BF70" s="63" t="s">
        <v>41</v>
      </c>
      <c r="BG70" s="65"/>
      <c r="BH70" s="66"/>
      <c r="BI70" s="66"/>
      <c r="BJ70" s="66"/>
      <c r="BK70" s="66"/>
      <c r="BL70" s="67"/>
      <c r="BM70" s="52"/>
      <c r="BO70" s="74" t="e">
        <f>IF(#REF!="●",SUM(DATEDIF($C70,$C71,"M"),1),"")</f>
        <v>#REF!</v>
      </c>
      <c r="BP70" s="75">
        <f>IF(AU70="●",SUM(DATEDIF($C70,$C71,"M"),1),"")</f>
        <v>14</v>
      </c>
      <c r="BQ70" s="54" t="str">
        <f>IF(AV70="●",SUM(DATEDIF($C70,$C71,"M"),1),"")</f>
        <v/>
      </c>
      <c r="BR70" s="74" t="str">
        <f t="shared" ref="BR70" si="48">IF(BR$38=$S70,SUM(DATEDIF($C70,$C71,"M"),1),"")</f>
        <v/>
      </c>
      <c r="BS70" s="75" t="str">
        <f t="shared" ref="BS70" si="49">IF(BS$38=$S70,SUM(DATEDIF($C70,$C71,"M"),1),"")</f>
        <v/>
      </c>
      <c r="BT70" s="75" t="str">
        <f t="shared" ref="BT70" si="50">IF(BT$38=$S70,SUM(DATEDIF($C70,$C71,"M"),1),"")</f>
        <v/>
      </c>
      <c r="BU70" s="75">
        <f t="shared" ref="BU70" si="51">IF(BU$38=$S70,SUM(DATEDIF($C70,$C71,"M"),1),"")</f>
        <v>14</v>
      </c>
      <c r="BV70" s="75" t="str">
        <f t="shared" ref="BV70" si="52">IF(BV$38=$S70,SUM(DATEDIF($C70,$C71,"M"),1),"")</f>
        <v/>
      </c>
      <c r="BW70" s="54" t="str">
        <f t="shared" ref="BW70" si="53">IF(BW$38=$S70,SUM(DATEDIF($C70,$C71,"M"),1),"")</f>
        <v/>
      </c>
      <c r="BX70" s="38"/>
      <c r="BY70" s="55">
        <f t="shared" ref="BY70" si="54">SUM(BR70:BW72)</f>
        <v>14</v>
      </c>
      <c r="BZ70" s="55" t="str">
        <f>C72</f>
        <v>&lt;14ヶ月&gt;</v>
      </c>
    </row>
    <row r="71" spans="1:78" s="3" customFormat="1" ht="18.649999999999999" customHeight="1" x14ac:dyDescent="0.2">
      <c r="A71" s="106"/>
      <c r="B71" s="107"/>
      <c r="C71" s="56">
        <v>42855</v>
      </c>
      <c r="D71" s="57"/>
      <c r="E71" s="57"/>
      <c r="F71" s="58"/>
      <c r="G71" s="114"/>
      <c r="H71" s="114"/>
      <c r="I71" s="114"/>
      <c r="J71" s="115"/>
      <c r="K71" s="116"/>
      <c r="L71" s="116"/>
      <c r="M71" s="116"/>
      <c r="N71" s="116"/>
      <c r="O71" s="117"/>
      <c r="P71" s="114"/>
      <c r="Q71" s="114"/>
      <c r="R71" s="114"/>
      <c r="S71" s="128"/>
      <c r="T71" s="128"/>
      <c r="U71" s="128"/>
      <c r="V71" s="129"/>
      <c r="W71" s="130"/>
      <c r="X71" s="130"/>
      <c r="Y71" s="130"/>
      <c r="Z71" s="130"/>
      <c r="AA71" s="130"/>
      <c r="AB71" s="130"/>
      <c r="AC71" s="130"/>
      <c r="AD71" s="130"/>
      <c r="AE71" s="130"/>
      <c r="AF71" s="130"/>
      <c r="AG71" s="130"/>
      <c r="AH71" s="130"/>
      <c r="AI71" s="130"/>
      <c r="AJ71" s="130"/>
      <c r="AK71" s="130"/>
      <c r="AL71" s="130"/>
      <c r="AM71" s="131"/>
      <c r="AN71" s="114"/>
      <c r="AO71" s="114"/>
      <c r="AP71" s="114"/>
      <c r="AQ71" s="114"/>
      <c r="AR71" s="114"/>
      <c r="AS71" s="114"/>
      <c r="AT71" s="114"/>
      <c r="AU71" s="62"/>
      <c r="AV71" s="63"/>
      <c r="AW71" s="64"/>
      <c r="AX71" s="62"/>
      <c r="AY71" s="62"/>
      <c r="AZ71" s="62"/>
      <c r="BA71" s="62"/>
      <c r="BB71" s="62"/>
      <c r="BC71" s="62"/>
      <c r="BD71" s="62"/>
      <c r="BE71" s="62"/>
      <c r="BF71" s="63"/>
      <c r="BG71" s="68"/>
      <c r="BH71" s="69"/>
      <c r="BI71" s="69"/>
      <c r="BJ71" s="69"/>
      <c r="BK71" s="69"/>
      <c r="BL71" s="70"/>
      <c r="BM71" s="52"/>
      <c r="BO71" s="74"/>
      <c r="BP71" s="75"/>
      <c r="BQ71" s="54"/>
      <c r="BR71" s="74"/>
      <c r="BS71" s="75"/>
      <c r="BT71" s="75"/>
      <c r="BU71" s="75"/>
      <c r="BV71" s="75"/>
      <c r="BW71" s="54"/>
      <c r="BX71" s="38"/>
      <c r="BY71" s="55"/>
      <c r="BZ71" s="55"/>
    </row>
    <row r="72" spans="1:78" s="3" customFormat="1" ht="48.75" customHeight="1" x14ac:dyDescent="0.2">
      <c r="A72" s="108"/>
      <c r="B72" s="109"/>
      <c r="C72" s="59" t="str">
        <f>CONCATENATE("&lt;",SUM(DATEDIF(C70,C71,"M"),1),"ヶ月&gt;")</f>
        <v>&lt;14ヶ月&gt;</v>
      </c>
      <c r="D72" s="60"/>
      <c r="E72" s="60"/>
      <c r="F72" s="61"/>
      <c r="G72" s="114"/>
      <c r="H72" s="114"/>
      <c r="I72" s="114"/>
      <c r="J72" s="118"/>
      <c r="K72" s="119"/>
      <c r="L72" s="119"/>
      <c r="M72" s="119"/>
      <c r="N72" s="119"/>
      <c r="O72" s="120"/>
      <c r="P72" s="114"/>
      <c r="Q72" s="114"/>
      <c r="R72" s="114"/>
      <c r="S72" s="128"/>
      <c r="T72" s="128"/>
      <c r="U72" s="128"/>
      <c r="V72" s="132"/>
      <c r="W72" s="133"/>
      <c r="X72" s="133"/>
      <c r="Y72" s="133"/>
      <c r="Z72" s="133"/>
      <c r="AA72" s="133"/>
      <c r="AB72" s="133"/>
      <c r="AC72" s="133"/>
      <c r="AD72" s="133"/>
      <c r="AE72" s="133"/>
      <c r="AF72" s="133"/>
      <c r="AG72" s="133"/>
      <c r="AH72" s="133"/>
      <c r="AI72" s="133"/>
      <c r="AJ72" s="133"/>
      <c r="AK72" s="133"/>
      <c r="AL72" s="133"/>
      <c r="AM72" s="134"/>
      <c r="AN72" s="114"/>
      <c r="AO72" s="114"/>
      <c r="AP72" s="114"/>
      <c r="AQ72" s="114"/>
      <c r="AR72" s="114"/>
      <c r="AS72" s="114"/>
      <c r="AT72" s="114"/>
      <c r="AU72" s="62"/>
      <c r="AV72" s="63"/>
      <c r="AW72" s="64"/>
      <c r="AX72" s="62"/>
      <c r="AY72" s="62"/>
      <c r="AZ72" s="62"/>
      <c r="BA72" s="62"/>
      <c r="BB72" s="62"/>
      <c r="BC72" s="62"/>
      <c r="BD72" s="62"/>
      <c r="BE72" s="62"/>
      <c r="BF72" s="63"/>
      <c r="BG72" s="71"/>
      <c r="BH72" s="72"/>
      <c r="BI72" s="72"/>
      <c r="BJ72" s="72"/>
      <c r="BK72" s="72"/>
      <c r="BL72" s="73"/>
      <c r="BM72" s="52"/>
      <c r="BO72" s="74"/>
      <c r="BP72" s="75"/>
      <c r="BQ72" s="54"/>
      <c r="BR72" s="74"/>
      <c r="BS72" s="75"/>
      <c r="BT72" s="75"/>
      <c r="BU72" s="75"/>
      <c r="BV72" s="75"/>
      <c r="BW72" s="54"/>
      <c r="BX72" s="38"/>
      <c r="BY72" s="55"/>
      <c r="BZ72" s="55"/>
    </row>
    <row r="73" spans="1:78" s="3" customFormat="1" ht="18.649999999999999" customHeight="1" x14ac:dyDescent="0.2">
      <c r="A73" s="104">
        <f t="shared" ref="A73" si="55">A76+1</f>
        <v>33</v>
      </c>
      <c r="B73" s="105"/>
      <c r="C73" s="179">
        <v>42278</v>
      </c>
      <c r="D73" s="180"/>
      <c r="E73" s="180"/>
      <c r="F73" s="180"/>
      <c r="G73" s="165" t="s">
        <v>164</v>
      </c>
      <c r="H73" s="114"/>
      <c r="I73" s="114"/>
      <c r="J73" s="168" t="s">
        <v>165</v>
      </c>
      <c r="K73" s="169"/>
      <c r="L73" s="169"/>
      <c r="M73" s="169"/>
      <c r="N73" s="169"/>
      <c r="O73" s="170"/>
      <c r="P73" s="114">
        <v>30</v>
      </c>
      <c r="Q73" s="114"/>
      <c r="R73" s="114"/>
      <c r="S73" s="128" t="s">
        <v>28</v>
      </c>
      <c r="T73" s="128"/>
      <c r="U73" s="128"/>
      <c r="V73" s="184" t="s">
        <v>166</v>
      </c>
      <c r="W73" s="185"/>
      <c r="X73" s="185"/>
      <c r="Y73" s="185"/>
      <c r="Z73" s="185"/>
      <c r="AA73" s="185"/>
      <c r="AB73" s="185"/>
      <c r="AC73" s="185"/>
      <c r="AD73" s="185"/>
      <c r="AE73" s="185"/>
      <c r="AF73" s="185"/>
      <c r="AG73" s="185"/>
      <c r="AH73" s="185"/>
      <c r="AI73" s="185"/>
      <c r="AJ73" s="185"/>
      <c r="AK73" s="185"/>
      <c r="AL73" s="185"/>
      <c r="AM73" s="186"/>
      <c r="AN73" s="165" t="s">
        <v>167</v>
      </c>
      <c r="AO73" s="114"/>
      <c r="AP73" s="114"/>
      <c r="AQ73" s="114"/>
      <c r="AR73" s="114"/>
      <c r="AS73" s="114"/>
      <c r="AT73" s="114"/>
      <c r="AU73" s="62" t="s">
        <v>41</v>
      </c>
      <c r="AV73" s="63"/>
      <c r="AW73" s="64"/>
      <c r="AX73" s="62"/>
      <c r="AY73" s="62"/>
      <c r="AZ73" s="62"/>
      <c r="BA73" s="62" t="s">
        <v>41</v>
      </c>
      <c r="BB73" s="62" t="s">
        <v>41</v>
      </c>
      <c r="BC73" s="62" t="s">
        <v>41</v>
      </c>
      <c r="BD73" s="62"/>
      <c r="BE73" s="62"/>
      <c r="BF73" s="63"/>
      <c r="BG73" s="65"/>
      <c r="BH73" s="66"/>
      <c r="BI73" s="66"/>
      <c r="BJ73" s="66"/>
      <c r="BK73" s="66"/>
      <c r="BL73" s="67"/>
      <c r="BM73" s="52"/>
      <c r="BO73" s="74" t="e">
        <f>IF(#REF!="●",SUM(DATEDIF($C73,$C74,"M"),1),"")</f>
        <v>#REF!</v>
      </c>
      <c r="BP73" s="75">
        <f>IF(AU73="●",SUM(DATEDIF($C73,$C74,"M"),1),"")</f>
        <v>5</v>
      </c>
      <c r="BQ73" s="54" t="str">
        <f>IF(AV73="●",SUM(DATEDIF($C73,$C74,"M"),1),"")</f>
        <v/>
      </c>
      <c r="BR73" s="74" t="str">
        <f t="shared" ref="BR73" si="56">IF(BR$38=$S73,SUM(DATEDIF($C73,$C74,"M"),1),"")</f>
        <v/>
      </c>
      <c r="BS73" s="75" t="str">
        <f t="shared" ref="BS73" si="57">IF(BS$38=$S73,SUM(DATEDIF($C73,$C74,"M"),1),"")</f>
        <v/>
      </c>
      <c r="BT73" s="75" t="str">
        <f t="shared" ref="BT73" si="58">IF(BT$38=$S73,SUM(DATEDIF($C73,$C74,"M"),1),"")</f>
        <v/>
      </c>
      <c r="BU73" s="75">
        <f t="shared" ref="BU73" si="59">IF(BU$38=$S73,SUM(DATEDIF($C73,$C74,"M"),1),"")</f>
        <v>5</v>
      </c>
      <c r="BV73" s="75" t="str">
        <f t="shared" ref="BV73" si="60">IF(BV$38=$S73,SUM(DATEDIF($C73,$C74,"M"),1),"")</f>
        <v/>
      </c>
      <c r="BW73" s="54" t="str">
        <f t="shared" ref="BW73" si="61">IF(BW$38=$S73,SUM(DATEDIF($C73,$C74,"M"),1),"")</f>
        <v/>
      </c>
      <c r="BX73" s="38"/>
      <c r="BY73" s="55">
        <f t="shared" ref="BY73" si="62">SUM(BR73:BW75)</f>
        <v>5</v>
      </c>
      <c r="BZ73" s="55" t="str">
        <f>C75</f>
        <v>&lt;5ヶ月&gt;</v>
      </c>
    </row>
    <row r="74" spans="1:78" s="3" customFormat="1" ht="18.649999999999999" customHeight="1" x14ac:dyDescent="0.2">
      <c r="A74" s="106"/>
      <c r="B74" s="107"/>
      <c r="C74" s="56">
        <v>42428</v>
      </c>
      <c r="D74" s="57"/>
      <c r="E74" s="57"/>
      <c r="F74" s="58"/>
      <c r="G74" s="114"/>
      <c r="H74" s="114"/>
      <c r="I74" s="114"/>
      <c r="J74" s="115"/>
      <c r="K74" s="116"/>
      <c r="L74" s="116"/>
      <c r="M74" s="116"/>
      <c r="N74" s="116"/>
      <c r="O74" s="117"/>
      <c r="P74" s="114"/>
      <c r="Q74" s="114"/>
      <c r="R74" s="114"/>
      <c r="S74" s="128"/>
      <c r="T74" s="128"/>
      <c r="U74" s="128"/>
      <c r="V74" s="129"/>
      <c r="W74" s="130"/>
      <c r="X74" s="130"/>
      <c r="Y74" s="130"/>
      <c r="Z74" s="130"/>
      <c r="AA74" s="130"/>
      <c r="AB74" s="130"/>
      <c r="AC74" s="130"/>
      <c r="AD74" s="130"/>
      <c r="AE74" s="130"/>
      <c r="AF74" s="130"/>
      <c r="AG74" s="130"/>
      <c r="AH74" s="130"/>
      <c r="AI74" s="130"/>
      <c r="AJ74" s="130"/>
      <c r="AK74" s="130"/>
      <c r="AL74" s="130"/>
      <c r="AM74" s="131"/>
      <c r="AN74" s="114"/>
      <c r="AO74" s="114"/>
      <c r="AP74" s="114"/>
      <c r="AQ74" s="114"/>
      <c r="AR74" s="114"/>
      <c r="AS74" s="114"/>
      <c r="AT74" s="114"/>
      <c r="AU74" s="62"/>
      <c r="AV74" s="63"/>
      <c r="AW74" s="64"/>
      <c r="AX74" s="62"/>
      <c r="AY74" s="62"/>
      <c r="AZ74" s="62"/>
      <c r="BA74" s="62"/>
      <c r="BB74" s="62"/>
      <c r="BC74" s="62"/>
      <c r="BD74" s="62"/>
      <c r="BE74" s="62"/>
      <c r="BF74" s="63"/>
      <c r="BG74" s="68"/>
      <c r="BH74" s="69"/>
      <c r="BI74" s="69"/>
      <c r="BJ74" s="69"/>
      <c r="BK74" s="69"/>
      <c r="BL74" s="70"/>
      <c r="BM74" s="52"/>
      <c r="BO74" s="74"/>
      <c r="BP74" s="75"/>
      <c r="BQ74" s="54"/>
      <c r="BR74" s="74"/>
      <c r="BS74" s="75"/>
      <c r="BT74" s="75"/>
      <c r="BU74" s="75"/>
      <c r="BV74" s="75"/>
      <c r="BW74" s="54"/>
      <c r="BX74" s="38"/>
      <c r="BY74" s="55"/>
      <c r="BZ74" s="55"/>
    </row>
    <row r="75" spans="1:78" s="3" customFormat="1" ht="36.65" customHeight="1" x14ac:dyDescent="0.2">
      <c r="A75" s="108"/>
      <c r="B75" s="109"/>
      <c r="C75" s="59" t="str">
        <f>CONCATENATE("&lt;",SUM(DATEDIF(C73,C74,"M"),1),"ヶ月&gt;")</f>
        <v>&lt;5ヶ月&gt;</v>
      </c>
      <c r="D75" s="60"/>
      <c r="E75" s="60"/>
      <c r="F75" s="61"/>
      <c r="G75" s="114"/>
      <c r="H75" s="114"/>
      <c r="I75" s="114"/>
      <c r="J75" s="118"/>
      <c r="K75" s="119"/>
      <c r="L75" s="119"/>
      <c r="M75" s="119"/>
      <c r="N75" s="119"/>
      <c r="O75" s="120"/>
      <c r="P75" s="114"/>
      <c r="Q75" s="114"/>
      <c r="R75" s="114"/>
      <c r="S75" s="128"/>
      <c r="T75" s="128"/>
      <c r="U75" s="128"/>
      <c r="V75" s="132"/>
      <c r="W75" s="133"/>
      <c r="X75" s="133"/>
      <c r="Y75" s="133"/>
      <c r="Z75" s="133"/>
      <c r="AA75" s="133"/>
      <c r="AB75" s="133"/>
      <c r="AC75" s="133"/>
      <c r="AD75" s="133"/>
      <c r="AE75" s="133"/>
      <c r="AF75" s="133"/>
      <c r="AG75" s="133"/>
      <c r="AH75" s="133"/>
      <c r="AI75" s="133"/>
      <c r="AJ75" s="133"/>
      <c r="AK75" s="133"/>
      <c r="AL75" s="133"/>
      <c r="AM75" s="134"/>
      <c r="AN75" s="114"/>
      <c r="AO75" s="114"/>
      <c r="AP75" s="114"/>
      <c r="AQ75" s="114"/>
      <c r="AR75" s="114"/>
      <c r="AS75" s="114"/>
      <c r="AT75" s="114"/>
      <c r="AU75" s="62"/>
      <c r="AV75" s="63"/>
      <c r="AW75" s="64"/>
      <c r="AX75" s="62"/>
      <c r="AY75" s="62"/>
      <c r="AZ75" s="62"/>
      <c r="BA75" s="62"/>
      <c r="BB75" s="62"/>
      <c r="BC75" s="62"/>
      <c r="BD75" s="62"/>
      <c r="BE75" s="62"/>
      <c r="BF75" s="63"/>
      <c r="BG75" s="71"/>
      <c r="BH75" s="72"/>
      <c r="BI75" s="72"/>
      <c r="BJ75" s="72"/>
      <c r="BK75" s="72"/>
      <c r="BL75" s="73"/>
      <c r="BM75" s="52"/>
      <c r="BO75" s="74"/>
      <c r="BP75" s="75"/>
      <c r="BQ75" s="54"/>
      <c r="BR75" s="74"/>
      <c r="BS75" s="75"/>
      <c r="BT75" s="75"/>
      <c r="BU75" s="75"/>
      <c r="BV75" s="75"/>
      <c r="BW75" s="54"/>
      <c r="BX75" s="38"/>
      <c r="BY75" s="55"/>
      <c r="BZ75" s="55"/>
    </row>
    <row r="76" spans="1:78" s="3" customFormat="1" ht="18.649999999999999" customHeight="1" x14ac:dyDescent="0.2">
      <c r="A76" s="104">
        <f t="shared" ref="A76" si="63">A79+1</f>
        <v>32</v>
      </c>
      <c r="B76" s="105"/>
      <c r="C76" s="179">
        <v>42125</v>
      </c>
      <c r="D76" s="180"/>
      <c r="E76" s="180"/>
      <c r="F76" s="180"/>
      <c r="G76" s="165" t="s">
        <v>168</v>
      </c>
      <c r="H76" s="114"/>
      <c r="I76" s="114"/>
      <c r="J76" s="168" t="s">
        <v>169</v>
      </c>
      <c r="K76" s="169"/>
      <c r="L76" s="169"/>
      <c r="M76" s="169"/>
      <c r="N76" s="169"/>
      <c r="O76" s="170"/>
      <c r="P76" s="114">
        <v>1200</v>
      </c>
      <c r="Q76" s="114"/>
      <c r="R76" s="114"/>
      <c r="S76" s="128" t="s">
        <v>170</v>
      </c>
      <c r="T76" s="128"/>
      <c r="U76" s="128"/>
      <c r="V76" s="184" t="s">
        <v>171</v>
      </c>
      <c r="W76" s="185"/>
      <c r="X76" s="185"/>
      <c r="Y76" s="185"/>
      <c r="Z76" s="185"/>
      <c r="AA76" s="185"/>
      <c r="AB76" s="185"/>
      <c r="AC76" s="185"/>
      <c r="AD76" s="185"/>
      <c r="AE76" s="185"/>
      <c r="AF76" s="185"/>
      <c r="AG76" s="185"/>
      <c r="AH76" s="185"/>
      <c r="AI76" s="185"/>
      <c r="AJ76" s="185"/>
      <c r="AK76" s="185"/>
      <c r="AL76" s="185"/>
      <c r="AM76" s="186"/>
      <c r="AN76" s="165" t="s">
        <v>162</v>
      </c>
      <c r="AO76" s="114"/>
      <c r="AP76" s="114"/>
      <c r="AQ76" s="114"/>
      <c r="AR76" s="114"/>
      <c r="AS76" s="114"/>
      <c r="AT76" s="114"/>
      <c r="AU76" s="62" t="s">
        <v>41</v>
      </c>
      <c r="AV76" s="63"/>
      <c r="AW76" s="64"/>
      <c r="AX76" s="62"/>
      <c r="AY76" s="62"/>
      <c r="AZ76" s="62"/>
      <c r="BA76" s="62"/>
      <c r="BB76" s="62" t="s">
        <v>41</v>
      </c>
      <c r="BC76" s="62" t="s">
        <v>41</v>
      </c>
      <c r="BD76" s="62" t="s">
        <v>41</v>
      </c>
      <c r="BE76" s="62" t="s">
        <v>41</v>
      </c>
      <c r="BF76" s="63"/>
      <c r="BG76" s="65"/>
      <c r="BH76" s="66"/>
      <c r="BI76" s="66"/>
      <c r="BJ76" s="66"/>
      <c r="BK76" s="66"/>
      <c r="BL76" s="67"/>
      <c r="BM76" s="52"/>
      <c r="BO76" s="74" t="e">
        <f>IF(#REF!="●",SUM(DATEDIF($C76,$C77,"M"),1),"")</f>
        <v>#REF!</v>
      </c>
      <c r="BP76" s="75">
        <f>IF(AU76="●",SUM(DATEDIF($C76,$C77,"M"),1),"")</f>
        <v>5</v>
      </c>
      <c r="BQ76" s="54" t="str">
        <f>IF(AV76="●",SUM(DATEDIF($C76,$C77,"M"),1),"")</f>
        <v/>
      </c>
      <c r="BR76" s="74" t="str">
        <f t="shared" ref="BR76" si="64">IF(BR$38=$S76,SUM(DATEDIF($C76,$C77,"M"),1),"")</f>
        <v/>
      </c>
      <c r="BS76" s="75" t="str">
        <f t="shared" ref="BS76" si="65">IF(BS$38=$S76,SUM(DATEDIF($C76,$C77,"M"),1),"")</f>
        <v/>
      </c>
      <c r="BT76" s="75" t="str">
        <f t="shared" ref="BT76" si="66">IF(BT$38=$S76,SUM(DATEDIF($C76,$C77,"M"),1),"")</f>
        <v/>
      </c>
      <c r="BU76" s="75">
        <f t="shared" ref="BU76" si="67">IF(BU$38=$S76,SUM(DATEDIF($C76,$C77,"M"),1),"")</f>
        <v>5</v>
      </c>
      <c r="BV76" s="75" t="str">
        <f t="shared" ref="BV76" si="68">IF(BV$38=$S76,SUM(DATEDIF($C76,$C77,"M"),1),"")</f>
        <v/>
      </c>
      <c r="BW76" s="54" t="str">
        <f t="shared" ref="BW76" si="69">IF(BW$38=$S76,SUM(DATEDIF($C76,$C77,"M"),1),"")</f>
        <v/>
      </c>
      <c r="BX76" s="38"/>
      <c r="BY76" s="55">
        <f t="shared" ref="BY76" si="70">SUM(BR76:BW78)</f>
        <v>5</v>
      </c>
      <c r="BZ76" s="55" t="str">
        <f>C78</f>
        <v>&lt;5ヶ月&gt;</v>
      </c>
    </row>
    <row r="77" spans="1:78" s="3" customFormat="1" ht="18.649999999999999" customHeight="1" x14ac:dyDescent="0.2">
      <c r="A77" s="106"/>
      <c r="B77" s="107"/>
      <c r="C77" s="56">
        <v>42277</v>
      </c>
      <c r="D77" s="57"/>
      <c r="E77" s="57"/>
      <c r="F77" s="58"/>
      <c r="G77" s="114"/>
      <c r="H77" s="114"/>
      <c r="I77" s="114"/>
      <c r="J77" s="115"/>
      <c r="K77" s="116"/>
      <c r="L77" s="116"/>
      <c r="M77" s="116"/>
      <c r="N77" s="116"/>
      <c r="O77" s="117"/>
      <c r="P77" s="114"/>
      <c r="Q77" s="114"/>
      <c r="R77" s="114"/>
      <c r="S77" s="128"/>
      <c r="T77" s="128"/>
      <c r="U77" s="128"/>
      <c r="V77" s="129"/>
      <c r="W77" s="130"/>
      <c r="X77" s="130"/>
      <c r="Y77" s="130"/>
      <c r="Z77" s="130"/>
      <c r="AA77" s="130"/>
      <c r="AB77" s="130"/>
      <c r="AC77" s="130"/>
      <c r="AD77" s="130"/>
      <c r="AE77" s="130"/>
      <c r="AF77" s="130"/>
      <c r="AG77" s="130"/>
      <c r="AH77" s="130"/>
      <c r="AI77" s="130"/>
      <c r="AJ77" s="130"/>
      <c r="AK77" s="130"/>
      <c r="AL77" s="130"/>
      <c r="AM77" s="131"/>
      <c r="AN77" s="114"/>
      <c r="AO77" s="114"/>
      <c r="AP77" s="114"/>
      <c r="AQ77" s="114"/>
      <c r="AR77" s="114"/>
      <c r="AS77" s="114"/>
      <c r="AT77" s="114"/>
      <c r="AU77" s="62"/>
      <c r="AV77" s="63"/>
      <c r="AW77" s="64"/>
      <c r="AX77" s="62"/>
      <c r="AY77" s="62"/>
      <c r="AZ77" s="62"/>
      <c r="BA77" s="62"/>
      <c r="BB77" s="62"/>
      <c r="BC77" s="62"/>
      <c r="BD77" s="62"/>
      <c r="BE77" s="62"/>
      <c r="BF77" s="63"/>
      <c r="BG77" s="68"/>
      <c r="BH77" s="69"/>
      <c r="BI77" s="69"/>
      <c r="BJ77" s="69"/>
      <c r="BK77" s="69"/>
      <c r="BL77" s="70"/>
      <c r="BM77" s="52"/>
      <c r="BO77" s="74"/>
      <c r="BP77" s="75"/>
      <c r="BQ77" s="54"/>
      <c r="BR77" s="74"/>
      <c r="BS77" s="75"/>
      <c r="BT77" s="75"/>
      <c r="BU77" s="75"/>
      <c r="BV77" s="75"/>
      <c r="BW77" s="54"/>
      <c r="BX77" s="38"/>
      <c r="BY77" s="55"/>
      <c r="BZ77" s="55"/>
    </row>
    <row r="78" spans="1:78" s="3" customFormat="1" ht="68.5" customHeight="1" x14ac:dyDescent="0.2">
      <c r="A78" s="108"/>
      <c r="B78" s="109"/>
      <c r="C78" s="59" t="str">
        <f>CONCATENATE("&lt;",SUM(DATEDIF(C76,C77,"M"),1),"ヶ月&gt;")</f>
        <v>&lt;5ヶ月&gt;</v>
      </c>
      <c r="D78" s="60"/>
      <c r="E78" s="60"/>
      <c r="F78" s="61"/>
      <c r="G78" s="114"/>
      <c r="H78" s="114"/>
      <c r="I78" s="114"/>
      <c r="J78" s="118"/>
      <c r="K78" s="119"/>
      <c r="L78" s="119"/>
      <c r="M78" s="119"/>
      <c r="N78" s="119"/>
      <c r="O78" s="120"/>
      <c r="P78" s="114"/>
      <c r="Q78" s="114"/>
      <c r="R78" s="114"/>
      <c r="S78" s="128"/>
      <c r="T78" s="128"/>
      <c r="U78" s="128"/>
      <c r="V78" s="132"/>
      <c r="W78" s="133"/>
      <c r="X78" s="133"/>
      <c r="Y78" s="133"/>
      <c r="Z78" s="133"/>
      <c r="AA78" s="133"/>
      <c r="AB78" s="133"/>
      <c r="AC78" s="133"/>
      <c r="AD78" s="133"/>
      <c r="AE78" s="133"/>
      <c r="AF78" s="133"/>
      <c r="AG78" s="133"/>
      <c r="AH78" s="133"/>
      <c r="AI78" s="133"/>
      <c r="AJ78" s="133"/>
      <c r="AK78" s="133"/>
      <c r="AL78" s="133"/>
      <c r="AM78" s="134"/>
      <c r="AN78" s="114"/>
      <c r="AO78" s="114"/>
      <c r="AP78" s="114"/>
      <c r="AQ78" s="114"/>
      <c r="AR78" s="114"/>
      <c r="AS78" s="114"/>
      <c r="AT78" s="114"/>
      <c r="AU78" s="62"/>
      <c r="AV78" s="63"/>
      <c r="AW78" s="64"/>
      <c r="AX78" s="62"/>
      <c r="AY78" s="62"/>
      <c r="AZ78" s="62"/>
      <c r="BA78" s="62"/>
      <c r="BB78" s="62"/>
      <c r="BC78" s="62"/>
      <c r="BD78" s="62"/>
      <c r="BE78" s="62"/>
      <c r="BF78" s="63"/>
      <c r="BG78" s="71"/>
      <c r="BH78" s="72"/>
      <c r="BI78" s="72"/>
      <c r="BJ78" s="72"/>
      <c r="BK78" s="72"/>
      <c r="BL78" s="73"/>
      <c r="BM78" s="52"/>
      <c r="BO78" s="74"/>
      <c r="BP78" s="75"/>
      <c r="BQ78" s="54"/>
      <c r="BR78" s="74"/>
      <c r="BS78" s="75"/>
      <c r="BT78" s="75"/>
      <c r="BU78" s="75"/>
      <c r="BV78" s="75"/>
      <c r="BW78" s="54"/>
      <c r="BX78" s="38"/>
      <c r="BY78" s="55"/>
      <c r="BZ78" s="55"/>
    </row>
    <row r="79" spans="1:78" s="3" customFormat="1" ht="18.649999999999999" customHeight="1" x14ac:dyDescent="0.2">
      <c r="A79" s="104">
        <f t="shared" ref="A79" si="71">A82+1</f>
        <v>31</v>
      </c>
      <c r="B79" s="105"/>
      <c r="C79" s="179">
        <v>42064</v>
      </c>
      <c r="D79" s="180"/>
      <c r="E79" s="180"/>
      <c r="F79" s="180"/>
      <c r="G79" s="165" t="s">
        <v>172</v>
      </c>
      <c r="H79" s="114"/>
      <c r="I79" s="114"/>
      <c r="J79" s="168" t="s">
        <v>173</v>
      </c>
      <c r="K79" s="169"/>
      <c r="L79" s="169"/>
      <c r="M79" s="169"/>
      <c r="N79" s="169"/>
      <c r="O79" s="170"/>
      <c r="P79" s="114">
        <v>30</v>
      </c>
      <c r="Q79" s="114"/>
      <c r="R79" s="114"/>
      <c r="S79" s="128" t="s">
        <v>28</v>
      </c>
      <c r="T79" s="128"/>
      <c r="U79" s="128"/>
      <c r="V79" s="184" t="s">
        <v>174</v>
      </c>
      <c r="W79" s="185"/>
      <c r="X79" s="185"/>
      <c r="Y79" s="185"/>
      <c r="Z79" s="185"/>
      <c r="AA79" s="185"/>
      <c r="AB79" s="185"/>
      <c r="AC79" s="185"/>
      <c r="AD79" s="185"/>
      <c r="AE79" s="185"/>
      <c r="AF79" s="185"/>
      <c r="AG79" s="185"/>
      <c r="AH79" s="185"/>
      <c r="AI79" s="185"/>
      <c r="AJ79" s="185"/>
      <c r="AK79" s="185"/>
      <c r="AL79" s="185"/>
      <c r="AM79" s="186"/>
      <c r="AN79" s="165" t="s">
        <v>175</v>
      </c>
      <c r="AO79" s="114"/>
      <c r="AP79" s="114"/>
      <c r="AQ79" s="114"/>
      <c r="AR79" s="114"/>
      <c r="AS79" s="114"/>
      <c r="AT79" s="114"/>
      <c r="AU79" s="62"/>
      <c r="AV79" s="63" t="s">
        <v>41</v>
      </c>
      <c r="AW79" s="64"/>
      <c r="AX79" s="62"/>
      <c r="AY79" s="62"/>
      <c r="AZ79" s="62"/>
      <c r="BA79" s="62" t="s">
        <v>41</v>
      </c>
      <c r="BB79" s="62" t="s">
        <v>41</v>
      </c>
      <c r="BC79" s="62"/>
      <c r="BD79" s="62"/>
      <c r="BE79" s="62"/>
      <c r="BF79" s="63"/>
      <c r="BG79" s="65"/>
      <c r="BH79" s="66"/>
      <c r="BI79" s="66"/>
      <c r="BJ79" s="66"/>
      <c r="BK79" s="66"/>
      <c r="BL79" s="67"/>
      <c r="BM79" s="52"/>
      <c r="BO79" s="74" t="e">
        <f>IF(#REF!="●",SUM(DATEDIF($C79,$C80,"M"),1),"")</f>
        <v>#REF!</v>
      </c>
      <c r="BP79" s="75" t="str">
        <f>IF(AU79="●",SUM(DATEDIF($C79,$C80,"M"),1),"")</f>
        <v/>
      </c>
      <c r="BQ79" s="54">
        <f>IF(AV79="●",SUM(DATEDIF($C79,$C80,"M"),1),"")</f>
        <v>2</v>
      </c>
      <c r="BR79" s="74" t="str">
        <f t="shared" ref="BR79" si="72">IF(BR$38=$S79,SUM(DATEDIF($C79,$C80,"M"),1),"")</f>
        <v/>
      </c>
      <c r="BS79" s="75" t="str">
        <f t="shared" ref="BS79" si="73">IF(BS$38=$S79,SUM(DATEDIF($C79,$C80,"M"),1),"")</f>
        <v/>
      </c>
      <c r="BT79" s="75" t="str">
        <f t="shared" ref="BT79" si="74">IF(BT$38=$S79,SUM(DATEDIF($C79,$C80,"M"),1),"")</f>
        <v/>
      </c>
      <c r="BU79" s="75">
        <f t="shared" ref="BU79" si="75">IF(BU$38=$S79,SUM(DATEDIF($C79,$C80,"M"),1),"")</f>
        <v>2</v>
      </c>
      <c r="BV79" s="75" t="str">
        <f t="shared" ref="BV79" si="76">IF(BV$38=$S79,SUM(DATEDIF($C79,$C80,"M"),1),"")</f>
        <v/>
      </c>
      <c r="BW79" s="54" t="str">
        <f t="shared" ref="BW79" si="77">IF(BW$38=$S79,SUM(DATEDIF($C79,$C80,"M"),1),"")</f>
        <v/>
      </c>
      <c r="BX79" s="38"/>
      <c r="BY79" s="55">
        <f t="shared" ref="BY79" si="78">SUM(BR79:BW81)</f>
        <v>2</v>
      </c>
      <c r="BZ79" s="55" t="str">
        <f>C81</f>
        <v>&lt;2ヶ月&gt;</v>
      </c>
    </row>
    <row r="80" spans="1:78" s="3" customFormat="1" ht="18.649999999999999" customHeight="1" x14ac:dyDescent="0.2">
      <c r="A80" s="106"/>
      <c r="B80" s="107"/>
      <c r="C80" s="56">
        <v>42124</v>
      </c>
      <c r="D80" s="57"/>
      <c r="E80" s="57"/>
      <c r="F80" s="58"/>
      <c r="G80" s="114"/>
      <c r="H80" s="114"/>
      <c r="I80" s="114"/>
      <c r="J80" s="115"/>
      <c r="K80" s="116"/>
      <c r="L80" s="116"/>
      <c r="M80" s="116"/>
      <c r="N80" s="116"/>
      <c r="O80" s="117"/>
      <c r="P80" s="114"/>
      <c r="Q80" s="114"/>
      <c r="R80" s="114"/>
      <c r="S80" s="128"/>
      <c r="T80" s="128"/>
      <c r="U80" s="128"/>
      <c r="V80" s="129"/>
      <c r="W80" s="130"/>
      <c r="X80" s="130"/>
      <c r="Y80" s="130"/>
      <c r="Z80" s="130"/>
      <c r="AA80" s="130"/>
      <c r="AB80" s="130"/>
      <c r="AC80" s="130"/>
      <c r="AD80" s="130"/>
      <c r="AE80" s="130"/>
      <c r="AF80" s="130"/>
      <c r="AG80" s="130"/>
      <c r="AH80" s="130"/>
      <c r="AI80" s="130"/>
      <c r="AJ80" s="130"/>
      <c r="AK80" s="130"/>
      <c r="AL80" s="130"/>
      <c r="AM80" s="131"/>
      <c r="AN80" s="114"/>
      <c r="AO80" s="114"/>
      <c r="AP80" s="114"/>
      <c r="AQ80" s="114"/>
      <c r="AR80" s="114"/>
      <c r="AS80" s="114"/>
      <c r="AT80" s="114"/>
      <c r="AU80" s="62"/>
      <c r="AV80" s="63"/>
      <c r="AW80" s="64"/>
      <c r="AX80" s="62"/>
      <c r="AY80" s="62"/>
      <c r="AZ80" s="62"/>
      <c r="BA80" s="62"/>
      <c r="BB80" s="62"/>
      <c r="BC80" s="62"/>
      <c r="BD80" s="62"/>
      <c r="BE80" s="62"/>
      <c r="BF80" s="63"/>
      <c r="BG80" s="68"/>
      <c r="BH80" s="69"/>
      <c r="BI80" s="69"/>
      <c r="BJ80" s="69"/>
      <c r="BK80" s="69"/>
      <c r="BL80" s="70"/>
      <c r="BM80" s="52"/>
      <c r="BO80" s="74"/>
      <c r="BP80" s="75"/>
      <c r="BQ80" s="54"/>
      <c r="BR80" s="74"/>
      <c r="BS80" s="75"/>
      <c r="BT80" s="75"/>
      <c r="BU80" s="75"/>
      <c r="BV80" s="75"/>
      <c r="BW80" s="54"/>
      <c r="BX80" s="38"/>
      <c r="BY80" s="55"/>
      <c r="BZ80" s="55"/>
    </row>
    <row r="81" spans="1:78" s="3" customFormat="1" ht="24" customHeight="1" x14ac:dyDescent="0.2">
      <c r="A81" s="108"/>
      <c r="B81" s="109"/>
      <c r="C81" s="59" t="str">
        <f>CONCATENATE("&lt;",SUM(DATEDIF(C79,C80,"M"),1),"ヶ月&gt;")</f>
        <v>&lt;2ヶ月&gt;</v>
      </c>
      <c r="D81" s="60"/>
      <c r="E81" s="60"/>
      <c r="F81" s="61"/>
      <c r="G81" s="114"/>
      <c r="H81" s="114"/>
      <c r="I81" s="114"/>
      <c r="J81" s="118"/>
      <c r="K81" s="119"/>
      <c r="L81" s="119"/>
      <c r="M81" s="119"/>
      <c r="N81" s="119"/>
      <c r="O81" s="120"/>
      <c r="P81" s="114"/>
      <c r="Q81" s="114"/>
      <c r="R81" s="114"/>
      <c r="S81" s="128"/>
      <c r="T81" s="128"/>
      <c r="U81" s="128"/>
      <c r="V81" s="132"/>
      <c r="W81" s="133"/>
      <c r="X81" s="133"/>
      <c r="Y81" s="133"/>
      <c r="Z81" s="133"/>
      <c r="AA81" s="133"/>
      <c r="AB81" s="133"/>
      <c r="AC81" s="133"/>
      <c r="AD81" s="133"/>
      <c r="AE81" s="133"/>
      <c r="AF81" s="133"/>
      <c r="AG81" s="133"/>
      <c r="AH81" s="133"/>
      <c r="AI81" s="133"/>
      <c r="AJ81" s="133"/>
      <c r="AK81" s="133"/>
      <c r="AL81" s="133"/>
      <c r="AM81" s="134"/>
      <c r="AN81" s="114"/>
      <c r="AO81" s="114"/>
      <c r="AP81" s="114"/>
      <c r="AQ81" s="114"/>
      <c r="AR81" s="114"/>
      <c r="AS81" s="114"/>
      <c r="AT81" s="114"/>
      <c r="AU81" s="62"/>
      <c r="AV81" s="63"/>
      <c r="AW81" s="64"/>
      <c r="AX81" s="62"/>
      <c r="AY81" s="62"/>
      <c r="AZ81" s="62"/>
      <c r="BA81" s="62"/>
      <c r="BB81" s="62"/>
      <c r="BC81" s="62"/>
      <c r="BD81" s="62"/>
      <c r="BE81" s="62"/>
      <c r="BF81" s="63"/>
      <c r="BG81" s="71"/>
      <c r="BH81" s="72"/>
      <c r="BI81" s="72"/>
      <c r="BJ81" s="72"/>
      <c r="BK81" s="72"/>
      <c r="BL81" s="73"/>
      <c r="BM81" s="52"/>
      <c r="BO81" s="74"/>
      <c r="BP81" s="75"/>
      <c r="BQ81" s="54"/>
      <c r="BR81" s="74"/>
      <c r="BS81" s="75"/>
      <c r="BT81" s="75"/>
      <c r="BU81" s="75"/>
      <c r="BV81" s="75"/>
      <c r="BW81" s="54"/>
      <c r="BX81" s="38"/>
      <c r="BY81" s="55"/>
      <c r="BZ81" s="55"/>
    </row>
    <row r="82" spans="1:78" s="3" customFormat="1" ht="18.649999999999999" customHeight="1" x14ac:dyDescent="0.2">
      <c r="A82" s="104">
        <f t="shared" ref="A82" si="79">A85+1</f>
        <v>30</v>
      </c>
      <c r="B82" s="105"/>
      <c r="C82" s="179">
        <v>41883</v>
      </c>
      <c r="D82" s="180"/>
      <c r="E82" s="180"/>
      <c r="F82" s="180"/>
      <c r="G82" s="165" t="s">
        <v>176</v>
      </c>
      <c r="H82" s="114"/>
      <c r="I82" s="114"/>
      <c r="J82" s="168" t="s">
        <v>177</v>
      </c>
      <c r="K82" s="169"/>
      <c r="L82" s="169"/>
      <c r="M82" s="169"/>
      <c r="N82" s="169"/>
      <c r="O82" s="170"/>
      <c r="P82" s="114">
        <v>5</v>
      </c>
      <c r="Q82" s="114"/>
      <c r="R82" s="114"/>
      <c r="S82" s="128" t="s">
        <v>127</v>
      </c>
      <c r="T82" s="128"/>
      <c r="U82" s="128"/>
      <c r="V82" s="184" t="s">
        <v>178</v>
      </c>
      <c r="W82" s="185"/>
      <c r="X82" s="185"/>
      <c r="Y82" s="185"/>
      <c r="Z82" s="185"/>
      <c r="AA82" s="185"/>
      <c r="AB82" s="185"/>
      <c r="AC82" s="185"/>
      <c r="AD82" s="185"/>
      <c r="AE82" s="185"/>
      <c r="AF82" s="185"/>
      <c r="AG82" s="185"/>
      <c r="AH82" s="185"/>
      <c r="AI82" s="185"/>
      <c r="AJ82" s="185"/>
      <c r="AK82" s="185"/>
      <c r="AL82" s="185"/>
      <c r="AM82" s="186"/>
      <c r="AN82" s="165" t="s">
        <v>66</v>
      </c>
      <c r="AO82" s="114"/>
      <c r="AP82" s="114"/>
      <c r="AQ82" s="114"/>
      <c r="AR82" s="114"/>
      <c r="AS82" s="114"/>
      <c r="AT82" s="114"/>
      <c r="AU82" s="62"/>
      <c r="AV82" s="63" t="s">
        <v>41</v>
      </c>
      <c r="AW82" s="64" t="s">
        <v>41</v>
      </c>
      <c r="AX82" s="62"/>
      <c r="AY82" s="62"/>
      <c r="AZ82" s="62"/>
      <c r="BA82" s="62"/>
      <c r="BB82" s="62"/>
      <c r="BC82" s="62"/>
      <c r="BD82" s="62"/>
      <c r="BE82" s="62"/>
      <c r="BF82" s="63"/>
      <c r="BG82" s="65"/>
      <c r="BH82" s="66"/>
      <c r="BI82" s="66"/>
      <c r="BJ82" s="66"/>
      <c r="BK82" s="66"/>
      <c r="BL82" s="67"/>
      <c r="BM82" s="52"/>
      <c r="BO82" s="74" t="e">
        <f>IF(#REF!="●",SUM(DATEDIF($C82,$C83,"M"),1),"")</f>
        <v>#REF!</v>
      </c>
      <c r="BP82" s="75" t="str">
        <f>IF(AU82="●",SUM(DATEDIF($C82,$C83,"M"),1),"")</f>
        <v/>
      </c>
      <c r="BQ82" s="54">
        <f>IF(AV82="●",SUM(DATEDIF($C82,$C83,"M"),1),"")</f>
        <v>6</v>
      </c>
      <c r="BR82" s="74">
        <f t="shared" ref="BR82" si="80">IF(BR$38=$S82,SUM(DATEDIF($C82,$C83,"M"),1),"")</f>
        <v>6</v>
      </c>
      <c r="BS82" s="75" t="str">
        <f t="shared" ref="BS82" si="81">IF(BS$38=$S82,SUM(DATEDIF($C82,$C83,"M"),1),"")</f>
        <v/>
      </c>
      <c r="BT82" s="75" t="str">
        <f t="shared" ref="BT82" si="82">IF(BT$38=$S82,SUM(DATEDIF($C82,$C83,"M"),1),"")</f>
        <v/>
      </c>
      <c r="BU82" s="75" t="str">
        <f t="shared" ref="BU82" si="83">IF(BU$38=$S82,SUM(DATEDIF($C82,$C83,"M"),1),"")</f>
        <v/>
      </c>
      <c r="BV82" s="75" t="str">
        <f t="shared" ref="BV82" si="84">IF(BV$38=$S82,SUM(DATEDIF($C82,$C83,"M"),1),"")</f>
        <v/>
      </c>
      <c r="BW82" s="54" t="str">
        <f t="shared" ref="BW82" si="85">IF(BW$38=$S82,SUM(DATEDIF($C82,$C83,"M"),1),"")</f>
        <v/>
      </c>
      <c r="BX82" s="38"/>
      <c r="BY82" s="55">
        <f t="shared" ref="BY82" si="86">SUM(BR82:BW84)</f>
        <v>6</v>
      </c>
      <c r="BZ82" s="55" t="str">
        <f>C84</f>
        <v>&lt;6ヶ月&gt;</v>
      </c>
    </row>
    <row r="83" spans="1:78" s="3" customFormat="1" ht="18.649999999999999" customHeight="1" x14ac:dyDescent="0.2">
      <c r="A83" s="106"/>
      <c r="B83" s="107"/>
      <c r="C83" s="56">
        <v>42063</v>
      </c>
      <c r="D83" s="57"/>
      <c r="E83" s="57"/>
      <c r="F83" s="58"/>
      <c r="G83" s="114"/>
      <c r="H83" s="114"/>
      <c r="I83" s="114"/>
      <c r="J83" s="115"/>
      <c r="K83" s="116"/>
      <c r="L83" s="116"/>
      <c r="M83" s="116"/>
      <c r="N83" s="116"/>
      <c r="O83" s="117"/>
      <c r="P83" s="114"/>
      <c r="Q83" s="114"/>
      <c r="R83" s="114"/>
      <c r="S83" s="128"/>
      <c r="T83" s="128"/>
      <c r="U83" s="128"/>
      <c r="V83" s="129"/>
      <c r="W83" s="130"/>
      <c r="X83" s="130"/>
      <c r="Y83" s="130"/>
      <c r="Z83" s="130"/>
      <c r="AA83" s="130"/>
      <c r="AB83" s="130"/>
      <c r="AC83" s="130"/>
      <c r="AD83" s="130"/>
      <c r="AE83" s="130"/>
      <c r="AF83" s="130"/>
      <c r="AG83" s="130"/>
      <c r="AH83" s="130"/>
      <c r="AI83" s="130"/>
      <c r="AJ83" s="130"/>
      <c r="AK83" s="130"/>
      <c r="AL83" s="130"/>
      <c r="AM83" s="131"/>
      <c r="AN83" s="114"/>
      <c r="AO83" s="114"/>
      <c r="AP83" s="114"/>
      <c r="AQ83" s="114"/>
      <c r="AR83" s="114"/>
      <c r="AS83" s="114"/>
      <c r="AT83" s="114"/>
      <c r="AU83" s="62"/>
      <c r="AV83" s="63"/>
      <c r="AW83" s="64"/>
      <c r="AX83" s="62"/>
      <c r="AY83" s="62"/>
      <c r="AZ83" s="62"/>
      <c r="BA83" s="62"/>
      <c r="BB83" s="62"/>
      <c r="BC83" s="62"/>
      <c r="BD83" s="62"/>
      <c r="BE83" s="62"/>
      <c r="BF83" s="63"/>
      <c r="BG83" s="68"/>
      <c r="BH83" s="69"/>
      <c r="BI83" s="69"/>
      <c r="BJ83" s="69"/>
      <c r="BK83" s="69"/>
      <c r="BL83" s="70"/>
      <c r="BM83" s="52"/>
      <c r="BO83" s="74"/>
      <c r="BP83" s="75"/>
      <c r="BQ83" s="54"/>
      <c r="BR83" s="74"/>
      <c r="BS83" s="75"/>
      <c r="BT83" s="75"/>
      <c r="BU83" s="75"/>
      <c r="BV83" s="75"/>
      <c r="BW83" s="54"/>
      <c r="BX83" s="38"/>
      <c r="BY83" s="55"/>
      <c r="BZ83" s="55"/>
    </row>
    <row r="84" spans="1:78" s="3" customFormat="1" ht="19.149999999999999" customHeight="1" x14ac:dyDescent="0.2">
      <c r="A84" s="108"/>
      <c r="B84" s="109"/>
      <c r="C84" s="59" t="str">
        <f>CONCATENATE("&lt;",SUM(DATEDIF(C82,C83,"M"),1),"ヶ月&gt;")</f>
        <v>&lt;6ヶ月&gt;</v>
      </c>
      <c r="D84" s="60"/>
      <c r="E84" s="60"/>
      <c r="F84" s="61"/>
      <c r="G84" s="114"/>
      <c r="H84" s="114"/>
      <c r="I84" s="114"/>
      <c r="J84" s="118"/>
      <c r="K84" s="119"/>
      <c r="L84" s="119"/>
      <c r="M84" s="119"/>
      <c r="N84" s="119"/>
      <c r="O84" s="120"/>
      <c r="P84" s="114"/>
      <c r="Q84" s="114"/>
      <c r="R84" s="114"/>
      <c r="S84" s="128"/>
      <c r="T84" s="128"/>
      <c r="U84" s="128"/>
      <c r="V84" s="132"/>
      <c r="W84" s="133"/>
      <c r="X84" s="133"/>
      <c r="Y84" s="133"/>
      <c r="Z84" s="133"/>
      <c r="AA84" s="133"/>
      <c r="AB84" s="133"/>
      <c r="AC84" s="133"/>
      <c r="AD84" s="133"/>
      <c r="AE84" s="133"/>
      <c r="AF84" s="133"/>
      <c r="AG84" s="133"/>
      <c r="AH84" s="133"/>
      <c r="AI84" s="133"/>
      <c r="AJ84" s="133"/>
      <c r="AK84" s="133"/>
      <c r="AL84" s="133"/>
      <c r="AM84" s="134"/>
      <c r="AN84" s="114"/>
      <c r="AO84" s="114"/>
      <c r="AP84" s="114"/>
      <c r="AQ84" s="114"/>
      <c r="AR84" s="114"/>
      <c r="AS84" s="114"/>
      <c r="AT84" s="114"/>
      <c r="AU84" s="62"/>
      <c r="AV84" s="63"/>
      <c r="AW84" s="64"/>
      <c r="AX84" s="62"/>
      <c r="AY84" s="62"/>
      <c r="AZ84" s="62"/>
      <c r="BA84" s="62"/>
      <c r="BB84" s="62"/>
      <c r="BC84" s="62"/>
      <c r="BD84" s="62"/>
      <c r="BE84" s="62"/>
      <c r="BF84" s="63"/>
      <c r="BG84" s="71"/>
      <c r="BH84" s="72"/>
      <c r="BI84" s="72"/>
      <c r="BJ84" s="72"/>
      <c r="BK84" s="72"/>
      <c r="BL84" s="73"/>
      <c r="BM84" s="52"/>
      <c r="BO84" s="74"/>
      <c r="BP84" s="75"/>
      <c r="BQ84" s="54"/>
      <c r="BR84" s="74"/>
      <c r="BS84" s="75"/>
      <c r="BT84" s="75"/>
      <c r="BU84" s="75"/>
      <c r="BV84" s="75"/>
      <c r="BW84" s="54"/>
      <c r="BX84" s="38"/>
      <c r="BY84" s="55"/>
      <c r="BZ84" s="55"/>
    </row>
    <row r="85" spans="1:78" s="3" customFormat="1" ht="18.649999999999999" customHeight="1" x14ac:dyDescent="0.2">
      <c r="A85" s="137">
        <f t="shared" ref="A85" si="87">A88+1</f>
        <v>29</v>
      </c>
      <c r="B85" s="138"/>
      <c r="C85" s="179">
        <v>41760</v>
      </c>
      <c r="D85" s="180"/>
      <c r="E85" s="180"/>
      <c r="F85" s="180"/>
      <c r="G85" s="165" t="s">
        <v>179</v>
      </c>
      <c r="H85" s="114"/>
      <c r="I85" s="114"/>
      <c r="J85" s="168" t="s">
        <v>180</v>
      </c>
      <c r="K85" s="169"/>
      <c r="L85" s="169"/>
      <c r="M85" s="169"/>
      <c r="N85" s="169"/>
      <c r="O85" s="170"/>
      <c r="P85" s="114">
        <v>30</v>
      </c>
      <c r="Q85" s="114"/>
      <c r="R85" s="114"/>
      <c r="S85" s="128" t="s">
        <v>28</v>
      </c>
      <c r="T85" s="128"/>
      <c r="U85" s="128"/>
      <c r="V85" s="184" t="s">
        <v>181</v>
      </c>
      <c r="W85" s="185"/>
      <c r="X85" s="185"/>
      <c r="Y85" s="185"/>
      <c r="Z85" s="185"/>
      <c r="AA85" s="185"/>
      <c r="AB85" s="185"/>
      <c r="AC85" s="185"/>
      <c r="AD85" s="185"/>
      <c r="AE85" s="185"/>
      <c r="AF85" s="185"/>
      <c r="AG85" s="185"/>
      <c r="AH85" s="185"/>
      <c r="AI85" s="185"/>
      <c r="AJ85" s="185"/>
      <c r="AK85" s="185"/>
      <c r="AL85" s="185"/>
      <c r="AM85" s="186"/>
      <c r="AN85" s="165" t="s">
        <v>182</v>
      </c>
      <c r="AO85" s="114"/>
      <c r="AP85" s="114"/>
      <c r="AQ85" s="114"/>
      <c r="AR85" s="114"/>
      <c r="AS85" s="114"/>
      <c r="AT85" s="114"/>
      <c r="AU85" s="62" t="s">
        <v>41</v>
      </c>
      <c r="AV85" s="63"/>
      <c r="AW85" s="64"/>
      <c r="AX85" s="62"/>
      <c r="AY85" s="62"/>
      <c r="AZ85" s="62"/>
      <c r="BA85" s="62"/>
      <c r="BB85" s="62"/>
      <c r="BC85" s="62" t="s">
        <v>41</v>
      </c>
      <c r="BD85" s="62" t="s">
        <v>41</v>
      </c>
      <c r="BE85" s="62"/>
      <c r="BF85" s="63"/>
      <c r="BG85" s="65"/>
      <c r="BH85" s="66"/>
      <c r="BI85" s="66"/>
      <c r="BJ85" s="66"/>
      <c r="BK85" s="66"/>
      <c r="BL85" s="67"/>
      <c r="BM85" s="52"/>
      <c r="BO85" s="74" t="e">
        <f>IF(#REF!="●",SUM(DATEDIF($C85,$C86,"M"),1),"")</f>
        <v>#REF!</v>
      </c>
      <c r="BP85" s="75">
        <f>IF(AU85="●",SUM(DATEDIF($C85,$C86,"M"),1),"")</f>
        <v>4</v>
      </c>
      <c r="BQ85" s="54" t="str">
        <f>IF(AV85="●",SUM(DATEDIF($C85,$C86,"M"),1),"")</f>
        <v/>
      </c>
      <c r="BR85" s="74" t="str">
        <f t="shared" ref="BR85" si="88">IF(BR$38=$S85,SUM(DATEDIF($C85,$C86,"M"),1),"")</f>
        <v/>
      </c>
      <c r="BS85" s="75" t="str">
        <f t="shared" ref="BS85" si="89">IF(BS$38=$S85,SUM(DATEDIF($C85,$C86,"M"),1),"")</f>
        <v/>
      </c>
      <c r="BT85" s="75" t="str">
        <f t="shared" ref="BT85" si="90">IF(BT$38=$S85,SUM(DATEDIF($C85,$C86,"M"),1),"")</f>
        <v/>
      </c>
      <c r="BU85" s="75">
        <f t="shared" ref="BU85" si="91">IF(BU$38=$S85,SUM(DATEDIF($C85,$C86,"M"),1),"")</f>
        <v>4</v>
      </c>
      <c r="BV85" s="75" t="str">
        <f t="shared" ref="BV85" si="92">IF(BV$38=$S85,SUM(DATEDIF($C85,$C86,"M"),1),"")</f>
        <v/>
      </c>
      <c r="BW85" s="54" t="str">
        <f t="shared" ref="BW85" si="93">IF(BW$38=$S85,SUM(DATEDIF($C85,$C86,"M"),1),"")</f>
        <v/>
      </c>
      <c r="BX85" s="38"/>
      <c r="BY85" s="55">
        <f t="shared" ref="BY85" si="94">SUM(BR85:BW87)</f>
        <v>4</v>
      </c>
      <c r="BZ85" s="55" t="str">
        <f>C87</f>
        <v>&lt;4ヶ月&gt;</v>
      </c>
    </row>
    <row r="86" spans="1:78" s="3" customFormat="1" ht="18.649999999999999" customHeight="1" x14ac:dyDescent="0.2">
      <c r="A86" s="137"/>
      <c r="B86" s="138"/>
      <c r="C86" s="56">
        <v>41882</v>
      </c>
      <c r="D86" s="57"/>
      <c r="E86" s="57"/>
      <c r="F86" s="58"/>
      <c r="G86" s="114"/>
      <c r="H86" s="114"/>
      <c r="I86" s="114"/>
      <c r="J86" s="115"/>
      <c r="K86" s="116"/>
      <c r="L86" s="116"/>
      <c r="M86" s="116"/>
      <c r="N86" s="116"/>
      <c r="O86" s="117"/>
      <c r="P86" s="114"/>
      <c r="Q86" s="114"/>
      <c r="R86" s="114"/>
      <c r="S86" s="128"/>
      <c r="T86" s="128"/>
      <c r="U86" s="128"/>
      <c r="V86" s="129"/>
      <c r="W86" s="130"/>
      <c r="X86" s="130"/>
      <c r="Y86" s="130"/>
      <c r="Z86" s="130"/>
      <c r="AA86" s="130"/>
      <c r="AB86" s="130"/>
      <c r="AC86" s="130"/>
      <c r="AD86" s="130"/>
      <c r="AE86" s="130"/>
      <c r="AF86" s="130"/>
      <c r="AG86" s="130"/>
      <c r="AH86" s="130"/>
      <c r="AI86" s="130"/>
      <c r="AJ86" s="130"/>
      <c r="AK86" s="130"/>
      <c r="AL86" s="130"/>
      <c r="AM86" s="131"/>
      <c r="AN86" s="114"/>
      <c r="AO86" s="114"/>
      <c r="AP86" s="114"/>
      <c r="AQ86" s="114"/>
      <c r="AR86" s="114"/>
      <c r="AS86" s="114"/>
      <c r="AT86" s="114"/>
      <c r="AU86" s="62"/>
      <c r="AV86" s="63"/>
      <c r="AW86" s="64"/>
      <c r="AX86" s="62"/>
      <c r="AY86" s="62"/>
      <c r="AZ86" s="62"/>
      <c r="BA86" s="62"/>
      <c r="BB86" s="62"/>
      <c r="BC86" s="62"/>
      <c r="BD86" s="62"/>
      <c r="BE86" s="62"/>
      <c r="BF86" s="63"/>
      <c r="BG86" s="68"/>
      <c r="BH86" s="69"/>
      <c r="BI86" s="69"/>
      <c r="BJ86" s="69"/>
      <c r="BK86" s="69"/>
      <c r="BL86" s="70"/>
      <c r="BM86" s="52"/>
      <c r="BO86" s="74"/>
      <c r="BP86" s="75"/>
      <c r="BQ86" s="54"/>
      <c r="BR86" s="74"/>
      <c r="BS86" s="75"/>
      <c r="BT86" s="75"/>
      <c r="BU86" s="75"/>
      <c r="BV86" s="75"/>
      <c r="BW86" s="54"/>
      <c r="BX86" s="38"/>
      <c r="BY86" s="55"/>
      <c r="BZ86" s="55"/>
    </row>
    <row r="87" spans="1:78" s="3" customFormat="1" ht="50.5" customHeight="1" x14ac:dyDescent="0.2">
      <c r="A87" s="137"/>
      <c r="B87" s="138"/>
      <c r="C87" s="59" t="str">
        <f>CONCATENATE("&lt;",SUM(DATEDIF(C85,C86,"M"),1),"ヶ月&gt;")</f>
        <v>&lt;4ヶ月&gt;</v>
      </c>
      <c r="D87" s="60"/>
      <c r="E87" s="60"/>
      <c r="F87" s="61"/>
      <c r="G87" s="114"/>
      <c r="H87" s="114"/>
      <c r="I87" s="114"/>
      <c r="J87" s="118"/>
      <c r="K87" s="119"/>
      <c r="L87" s="119"/>
      <c r="M87" s="119"/>
      <c r="N87" s="119"/>
      <c r="O87" s="120"/>
      <c r="P87" s="114"/>
      <c r="Q87" s="114"/>
      <c r="R87" s="114"/>
      <c r="S87" s="128"/>
      <c r="T87" s="128"/>
      <c r="U87" s="128"/>
      <c r="V87" s="132"/>
      <c r="W87" s="133"/>
      <c r="X87" s="133"/>
      <c r="Y87" s="133"/>
      <c r="Z87" s="133"/>
      <c r="AA87" s="133"/>
      <c r="AB87" s="133"/>
      <c r="AC87" s="133"/>
      <c r="AD87" s="133"/>
      <c r="AE87" s="133"/>
      <c r="AF87" s="133"/>
      <c r="AG87" s="133"/>
      <c r="AH87" s="133"/>
      <c r="AI87" s="133"/>
      <c r="AJ87" s="133"/>
      <c r="AK87" s="133"/>
      <c r="AL87" s="133"/>
      <c r="AM87" s="134"/>
      <c r="AN87" s="114"/>
      <c r="AO87" s="114"/>
      <c r="AP87" s="114"/>
      <c r="AQ87" s="114"/>
      <c r="AR87" s="114"/>
      <c r="AS87" s="114"/>
      <c r="AT87" s="114"/>
      <c r="AU87" s="62"/>
      <c r="AV87" s="63"/>
      <c r="AW87" s="64"/>
      <c r="AX87" s="62"/>
      <c r="AY87" s="62"/>
      <c r="AZ87" s="62"/>
      <c r="BA87" s="62"/>
      <c r="BB87" s="62"/>
      <c r="BC87" s="62"/>
      <c r="BD87" s="62"/>
      <c r="BE87" s="62"/>
      <c r="BF87" s="63"/>
      <c r="BG87" s="71"/>
      <c r="BH87" s="72"/>
      <c r="BI87" s="72"/>
      <c r="BJ87" s="72"/>
      <c r="BK87" s="72"/>
      <c r="BL87" s="73"/>
      <c r="BM87" s="52"/>
      <c r="BO87" s="74"/>
      <c r="BP87" s="75"/>
      <c r="BQ87" s="54"/>
      <c r="BR87" s="74"/>
      <c r="BS87" s="75"/>
      <c r="BT87" s="75"/>
      <c r="BU87" s="75"/>
      <c r="BV87" s="75"/>
      <c r="BW87" s="54"/>
      <c r="BX87" s="38"/>
      <c r="BY87" s="55"/>
      <c r="BZ87" s="55"/>
    </row>
    <row r="88" spans="1:78" s="3" customFormat="1" ht="18.649999999999999" customHeight="1" x14ac:dyDescent="0.2">
      <c r="A88" s="137">
        <f t="shared" ref="A88" si="95">A91+1</f>
        <v>28</v>
      </c>
      <c r="B88" s="138"/>
      <c r="C88" s="179">
        <v>41640</v>
      </c>
      <c r="D88" s="180"/>
      <c r="E88" s="180"/>
      <c r="F88" s="180"/>
      <c r="G88" s="165" t="s">
        <v>183</v>
      </c>
      <c r="H88" s="114"/>
      <c r="I88" s="114"/>
      <c r="J88" s="168" t="s">
        <v>184</v>
      </c>
      <c r="K88" s="169"/>
      <c r="L88" s="169"/>
      <c r="M88" s="169"/>
      <c r="N88" s="169"/>
      <c r="O88" s="170"/>
      <c r="P88" s="114">
        <v>2</v>
      </c>
      <c r="Q88" s="114"/>
      <c r="R88" s="114"/>
      <c r="S88" s="128" t="s">
        <v>29</v>
      </c>
      <c r="T88" s="128"/>
      <c r="U88" s="128"/>
      <c r="V88" s="184" t="s">
        <v>185</v>
      </c>
      <c r="W88" s="185"/>
      <c r="X88" s="185"/>
      <c r="Y88" s="185"/>
      <c r="Z88" s="185"/>
      <c r="AA88" s="185"/>
      <c r="AB88" s="185"/>
      <c r="AC88" s="185"/>
      <c r="AD88" s="185"/>
      <c r="AE88" s="185"/>
      <c r="AF88" s="185"/>
      <c r="AG88" s="185"/>
      <c r="AH88" s="185"/>
      <c r="AI88" s="185"/>
      <c r="AJ88" s="185"/>
      <c r="AK88" s="185"/>
      <c r="AL88" s="185"/>
      <c r="AM88" s="186"/>
      <c r="AN88" s="165" t="s">
        <v>186</v>
      </c>
      <c r="AO88" s="114"/>
      <c r="AP88" s="114"/>
      <c r="AQ88" s="114"/>
      <c r="AR88" s="114"/>
      <c r="AS88" s="114"/>
      <c r="AT88" s="114"/>
      <c r="AU88" s="62" t="s">
        <v>40</v>
      </c>
      <c r="AV88" s="63"/>
      <c r="AW88" s="64"/>
      <c r="AX88" s="62" t="s">
        <v>41</v>
      </c>
      <c r="AY88" s="62" t="s">
        <v>41</v>
      </c>
      <c r="AZ88" s="62" t="s">
        <v>41</v>
      </c>
      <c r="BA88" s="62" t="s">
        <v>41</v>
      </c>
      <c r="BB88" s="62" t="s">
        <v>41</v>
      </c>
      <c r="BC88" s="62" t="s">
        <v>41</v>
      </c>
      <c r="BD88" s="62" t="s">
        <v>41</v>
      </c>
      <c r="BE88" s="62" t="s">
        <v>40</v>
      </c>
      <c r="BF88" s="63" t="s">
        <v>41</v>
      </c>
      <c r="BG88" s="65"/>
      <c r="BH88" s="66"/>
      <c r="BI88" s="66"/>
      <c r="BJ88" s="66"/>
      <c r="BK88" s="66"/>
      <c r="BL88" s="67"/>
      <c r="BM88" s="52"/>
      <c r="BO88" s="74" t="e">
        <f>IF(#REF!="●",SUM(DATEDIF($C88,$C89,"M"),1),"")</f>
        <v>#REF!</v>
      </c>
      <c r="BP88" s="75">
        <f>IF(AU88="●",SUM(DATEDIF($C88,$C89,"M"),1),"")</f>
        <v>4</v>
      </c>
      <c r="BQ88" s="54" t="str">
        <f>IF(AV88="●",SUM(DATEDIF($C88,$C89,"M"),1),"")</f>
        <v/>
      </c>
      <c r="BR88" s="74" t="str">
        <f t="shared" ref="BR88" si="96">IF(BR$38=$S88,SUM(DATEDIF($C88,$C89,"M"),1),"")</f>
        <v/>
      </c>
      <c r="BS88" s="75" t="str">
        <f t="shared" ref="BS88" si="97">IF(BS$38=$S88,SUM(DATEDIF($C88,$C89,"M"),1),"")</f>
        <v/>
      </c>
      <c r="BT88" s="75" t="str">
        <f t="shared" ref="BT88" si="98">IF(BT$38=$S88,SUM(DATEDIF($C88,$C89,"M"),1),"")</f>
        <v/>
      </c>
      <c r="BU88" s="75" t="str">
        <f t="shared" ref="BU88" si="99">IF(BU$38=$S88,SUM(DATEDIF($C88,$C89,"M"),1),"")</f>
        <v/>
      </c>
      <c r="BV88" s="75">
        <f t="shared" ref="BV88" si="100">IF(BV$38=$S88,SUM(DATEDIF($C88,$C89,"M"),1),"")</f>
        <v>4</v>
      </c>
      <c r="BW88" s="54" t="str">
        <f t="shared" ref="BW88" si="101">IF(BW$38=$S88,SUM(DATEDIF($C88,$C89,"M"),1),"")</f>
        <v/>
      </c>
      <c r="BX88" s="38"/>
      <c r="BY88" s="55">
        <f t="shared" ref="BY88" si="102">SUM(BR88:BW90)</f>
        <v>4</v>
      </c>
      <c r="BZ88" s="55" t="str">
        <f>C90</f>
        <v>&lt;4ヶ月&gt;</v>
      </c>
    </row>
    <row r="89" spans="1:78" s="3" customFormat="1" ht="18.649999999999999" customHeight="1" x14ac:dyDescent="0.2">
      <c r="A89" s="137"/>
      <c r="B89" s="138"/>
      <c r="C89" s="56">
        <v>41759</v>
      </c>
      <c r="D89" s="57"/>
      <c r="E89" s="57"/>
      <c r="F89" s="58"/>
      <c r="G89" s="114"/>
      <c r="H89" s="114"/>
      <c r="I89" s="114"/>
      <c r="J89" s="115"/>
      <c r="K89" s="116"/>
      <c r="L89" s="116"/>
      <c r="M89" s="116"/>
      <c r="N89" s="116"/>
      <c r="O89" s="117"/>
      <c r="P89" s="114"/>
      <c r="Q89" s="114"/>
      <c r="R89" s="114"/>
      <c r="S89" s="128"/>
      <c r="T89" s="128"/>
      <c r="U89" s="128"/>
      <c r="V89" s="129"/>
      <c r="W89" s="130"/>
      <c r="X89" s="130"/>
      <c r="Y89" s="130"/>
      <c r="Z89" s="130"/>
      <c r="AA89" s="130"/>
      <c r="AB89" s="130"/>
      <c r="AC89" s="130"/>
      <c r="AD89" s="130"/>
      <c r="AE89" s="130"/>
      <c r="AF89" s="130"/>
      <c r="AG89" s="130"/>
      <c r="AH89" s="130"/>
      <c r="AI89" s="130"/>
      <c r="AJ89" s="130"/>
      <c r="AK89" s="130"/>
      <c r="AL89" s="130"/>
      <c r="AM89" s="131"/>
      <c r="AN89" s="114"/>
      <c r="AO89" s="114"/>
      <c r="AP89" s="114"/>
      <c r="AQ89" s="114"/>
      <c r="AR89" s="114"/>
      <c r="AS89" s="114"/>
      <c r="AT89" s="114"/>
      <c r="AU89" s="62"/>
      <c r="AV89" s="63"/>
      <c r="AW89" s="64"/>
      <c r="AX89" s="62"/>
      <c r="AY89" s="62"/>
      <c r="AZ89" s="62"/>
      <c r="BA89" s="62"/>
      <c r="BB89" s="62"/>
      <c r="BC89" s="62"/>
      <c r="BD89" s="62"/>
      <c r="BE89" s="62"/>
      <c r="BF89" s="63"/>
      <c r="BG89" s="68"/>
      <c r="BH89" s="69"/>
      <c r="BI89" s="69"/>
      <c r="BJ89" s="69"/>
      <c r="BK89" s="69"/>
      <c r="BL89" s="70"/>
      <c r="BM89" s="52"/>
      <c r="BO89" s="74"/>
      <c r="BP89" s="75"/>
      <c r="BQ89" s="54"/>
      <c r="BR89" s="74"/>
      <c r="BS89" s="75"/>
      <c r="BT89" s="75"/>
      <c r="BU89" s="75"/>
      <c r="BV89" s="75"/>
      <c r="BW89" s="54"/>
      <c r="BX89" s="38"/>
      <c r="BY89" s="55"/>
      <c r="BZ89" s="55"/>
    </row>
    <row r="90" spans="1:78" s="3" customFormat="1" ht="26.5" customHeight="1" x14ac:dyDescent="0.2">
      <c r="A90" s="137"/>
      <c r="B90" s="138"/>
      <c r="C90" s="59" t="str">
        <f>CONCATENATE("&lt;",SUM(DATEDIF(C88,C89,"M"),1),"ヶ月&gt;")</f>
        <v>&lt;4ヶ月&gt;</v>
      </c>
      <c r="D90" s="60"/>
      <c r="E90" s="60"/>
      <c r="F90" s="61"/>
      <c r="G90" s="114"/>
      <c r="H90" s="114"/>
      <c r="I90" s="114"/>
      <c r="J90" s="118"/>
      <c r="K90" s="119"/>
      <c r="L90" s="119"/>
      <c r="M90" s="119"/>
      <c r="N90" s="119"/>
      <c r="O90" s="120"/>
      <c r="P90" s="114"/>
      <c r="Q90" s="114"/>
      <c r="R90" s="114"/>
      <c r="S90" s="128"/>
      <c r="T90" s="128"/>
      <c r="U90" s="128"/>
      <c r="V90" s="132"/>
      <c r="W90" s="133"/>
      <c r="X90" s="133"/>
      <c r="Y90" s="133"/>
      <c r="Z90" s="133"/>
      <c r="AA90" s="133"/>
      <c r="AB90" s="133"/>
      <c r="AC90" s="133"/>
      <c r="AD90" s="133"/>
      <c r="AE90" s="133"/>
      <c r="AF90" s="133"/>
      <c r="AG90" s="133"/>
      <c r="AH90" s="133"/>
      <c r="AI90" s="133"/>
      <c r="AJ90" s="133"/>
      <c r="AK90" s="133"/>
      <c r="AL90" s="133"/>
      <c r="AM90" s="134"/>
      <c r="AN90" s="114"/>
      <c r="AO90" s="114"/>
      <c r="AP90" s="114"/>
      <c r="AQ90" s="114"/>
      <c r="AR90" s="114"/>
      <c r="AS90" s="114"/>
      <c r="AT90" s="114"/>
      <c r="AU90" s="62"/>
      <c r="AV90" s="63"/>
      <c r="AW90" s="64"/>
      <c r="AX90" s="62"/>
      <c r="AY90" s="62"/>
      <c r="AZ90" s="62"/>
      <c r="BA90" s="62"/>
      <c r="BB90" s="62"/>
      <c r="BC90" s="62"/>
      <c r="BD90" s="62"/>
      <c r="BE90" s="62"/>
      <c r="BF90" s="63"/>
      <c r="BG90" s="71"/>
      <c r="BH90" s="72"/>
      <c r="BI90" s="72"/>
      <c r="BJ90" s="72"/>
      <c r="BK90" s="72"/>
      <c r="BL90" s="73"/>
      <c r="BM90" s="52"/>
      <c r="BO90" s="74"/>
      <c r="BP90" s="75"/>
      <c r="BQ90" s="54"/>
      <c r="BR90" s="74"/>
      <c r="BS90" s="75"/>
      <c r="BT90" s="75"/>
      <c r="BU90" s="75"/>
      <c r="BV90" s="75"/>
      <c r="BW90" s="54"/>
      <c r="BX90" s="38"/>
      <c r="BY90" s="55"/>
      <c r="BZ90" s="55"/>
    </row>
    <row r="91" spans="1:78" s="3" customFormat="1" ht="18.649999999999999" customHeight="1" x14ac:dyDescent="0.2">
      <c r="A91" s="137">
        <f t="shared" ref="A91" si="103">A94+1</f>
        <v>27</v>
      </c>
      <c r="B91" s="138"/>
      <c r="C91" s="179">
        <v>41456</v>
      </c>
      <c r="D91" s="180"/>
      <c r="E91" s="180"/>
      <c r="F91" s="180"/>
      <c r="G91" s="165" t="s">
        <v>187</v>
      </c>
      <c r="H91" s="114"/>
      <c r="I91" s="114"/>
      <c r="J91" s="168" t="s">
        <v>188</v>
      </c>
      <c r="K91" s="169"/>
      <c r="L91" s="169"/>
      <c r="M91" s="169"/>
      <c r="N91" s="169"/>
      <c r="O91" s="170"/>
      <c r="P91" s="114">
        <v>15</v>
      </c>
      <c r="Q91" s="114"/>
      <c r="R91" s="114"/>
      <c r="S91" s="128" t="s">
        <v>30</v>
      </c>
      <c r="T91" s="128"/>
      <c r="U91" s="128"/>
      <c r="V91" s="184" t="s">
        <v>189</v>
      </c>
      <c r="W91" s="185"/>
      <c r="X91" s="185"/>
      <c r="Y91" s="185"/>
      <c r="Z91" s="185"/>
      <c r="AA91" s="185"/>
      <c r="AB91" s="185"/>
      <c r="AC91" s="185"/>
      <c r="AD91" s="185"/>
      <c r="AE91" s="185"/>
      <c r="AF91" s="185"/>
      <c r="AG91" s="185"/>
      <c r="AH91" s="185"/>
      <c r="AI91" s="185"/>
      <c r="AJ91" s="185"/>
      <c r="AK91" s="185"/>
      <c r="AL91" s="185"/>
      <c r="AM91" s="186"/>
      <c r="AN91" s="165" t="s">
        <v>190</v>
      </c>
      <c r="AO91" s="114"/>
      <c r="AP91" s="114"/>
      <c r="AQ91" s="114"/>
      <c r="AR91" s="114"/>
      <c r="AS91" s="114"/>
      <c r="AT91" s="114"/>
      <c r="AU91" s="62" t="s">
        <v>41</v>
      </c>
      <c r="AV91" s="63"/>
      <c r="AW91" s="64"/>
      <c r="AX91" s="62"/>
      <c r="AY91" s="62"/>
      <c r="AZ91" s="62"/>
      <c r="BA91" s="62" t="s">
        <v>40</v>
      </c>
      <c r="BB91" s="62" t="s">
        <v>40</v>
      </c>
      <c r="BC91" s="62" t="s">
        <v>40</v>
      </c>
      <c r="BD91" s="62"/>
      <c r="BE91" s="62"/>
      <c r="BF91" s="63"/>
      <c r="BG91" s="65"/>
      <c r="BH91" s="66"/>
      <c r="BI91" s="66"/>
      <c r="BJ91" s="66"/>
      <c r="BK91" s="66"/>
      <c r="BL91" s="67"/>
      <c r="BM91" s="52"/>
      <c r="BO91" s="74" t="e">
        <f>IF(#REF!="●",SUM(DATEDIF($C91,$C92,"M"),1),"")</f>
        <v>#REF!</v>
      </c>
      <c r="BP91" s="75">
        <f>IF(AU91="●",SUM(DATEDIF($C91,$C92,"M"),1),"")</f>
        <v>6</v>
      </c>
      <c r="BQ91" s="54" t="str">
        <f>IF(AV91="●",SUM(DATEDIF($C91,$C92,"M"),1),"")</f>
        <v/>
      </c>
      <c r="BR91" s="74" t="str">
        <f t="shared" ref="BR91" si="104">IF(BR$38=$S91,SUM(DATEDIF($C91,$C92,"M"),1),"")</f>
        <v/>
      </c>
      <c r="BS91" s="75" t="str">
        <f t="shared" ref="BS91" si="105">IF(BS$38=$S91,SUM(DATEDIF($C91,$C92,"M"),1),"")</f>
        <v/>
      </c>
      <c r="BT91" s="75" t="str">
        <f t="shared" ref="BT91" si="106">IF(BT$38=$S91,SUM(DATEDIF($C91,$C92,"M"),1),"")</f>
        <v/>
      </c>
      <c r="BU91" s="75" t="str">
        <f t="shared" ref="BU91" si="107">IF(BU$38=$S91,SUM(DATEDIF($C91,$C92,"M"),1),"")</f>
        <v/>
      </c>
      <c r="BV91" s="75" t="str">
        <f t="shared" ref="BV91" si="108">IF(BV$38=$S91,SUM(DATEDIF($C91,$C92,"M"),1),"")</f>
        <v/>
      </c>
      <c r="BW91" s="54">
        <f t="shared" ref="BW91" si="109">IF(BW$38=$S91,SUM(DATEDIF($C91,$C92,"M"),1),"")</f>
        <v>6</v>
      </c>
      <c r="BX91" s="38"/>
      <c r="BY91" s="55">
        <f t="shared" ref="BY91" si="110">SUM(BR91:BW93)</f>
        <v>6</v>
      </c>
      <c r="BZ91" s="55" t="str">
        <f>C93</f>
        <v>&lt;6ヶ月&gt;</v>
      </c>
    </row>
    <row r="92" spans="1:78" s="3" customFormat="1" ht="18.649999999999999" customHeight="1" x14ac:dyDescent="0.2">
      <c r="A92" s="137"/>
      <c r="B92" s="138"/>
      <c r="C92" s="56">
        <v>41639</v>
      </c>
      <c r="D92" s="57"/>
      <c r="E92" s="57"/>
      <c r="F92" s="58"/>
      <c r="G92" s="114"/>
      <c r="H92" s="114"/>
      <c r="I92" s="114"/>
      <c r="J92" s="115"/>
      <c r="K92" s="116"/>
      <c r="L92" s="116"/>
      <c r="M92" s="116"/>
      <c r="N92" s="116"/>
      <c r="O92" s="117"/>
      <c r="P92" s="114"/>
      <c r="Q92" s="114"/>
      <c r="R92" s="114"/>
      <c r="S92" s="128"/>
      <c r="T92" s="128"/>
      <c r="U92" s="128"/>
      <c r="V92" s="129"/>
      <c r="W92" s="130"/>
      <c r="X92" s="130"/>
      <c r="Y92" s="130"/>
      <c r="Z92" s="130"/>
      <c r="AA92" s="130"/>
      <c r="AB92" s="130"/>
      <c r="AC92" s="130"/>
      <c r="AD92" s="130"/>
      <c r="AE92" s="130"/>
      <c r="AF92" s="130"/>
      <c r="AG92" s="130"/>
      <c r="AH92" s="130"/>
      <c r="AI92" s="130"/>
      <c r="AJ92" s="130"/>
      <c r="AK92" s="130"/>
      <c r="AL92" s="130"/>
      <c r="AM92" s="131"/>
      <c r="AN92" s="114"/>
      <c r="AO92" s="114"/>
      <c r="AP92" s="114"/>
      <c r="AQ92" s="114"/>
      <c r="AR92" s="114"/>
      <c r="AS92" s="114"/>
      <c r="AT92" s="114"/>
      <c r="AU92" s="62"/>
      <c r="AV92" s="63"/>
      <c r="AW92" s="64"/>
      <c r="AX92" s="62"/>
      <c r="AY92" s="62"/>
      <c r="AZ92" s="62"/>
      <c r="BA92" s="62"/>
      <c r="BB92" s="62"/>
      <c r="BC92" s="62"/>
      <c r="BD92" s="62"/>
      <c r="BE92" s="62"/>
      <c r="BF92" s="63"/>
      <c r="BG92" s="68"/>
      <c r="BH92" s="69"/>
      <c r="BI92" s="69"/>
      <c r="BJ92" s="69"/>
      <c r="BK92" s="69"/>
      <c r="BL92" s="70"/>
      <c r="BM92" s="52"/>
      <c r="BO92" s="74"/>
      <c r="BP92" s="75"/>
      <c r="BQ92" s="54"/>
      <c r="BR92" s="74"/>
      <c r="BS92" s="75"/>
      <c r="BT92" s="75"/>
      <c r="BU92" s="75"/>
      <c r="BV92" s="75"/>
      <c r="BW92" s="54"/>
      <c r="BX92" s="38"/>
      <c r="BY92" s="55"/>
      <c r="BZ92" s="55"/>
    </row>
    <row r="93" spans="1:78" s="3" customFormat="1" ht="56.5" customHeight="1" x14ac:dyDescent="0.2">
      <c r="A93" s="137"/>
      <c r="B93" s="138"/>
      <c r="C93" s="59" t="str">
        <f>CONCATENATE("&lt;",SUM(DATEDIF(C91,C92,"M"),1),"ヶ月&gt;")</f>
        <v>&lt;6ヶ月&gt;</v>
      </c>
      <c r="D93" s="60"/>
      <c r="E93" s="60"/>
      <c r="F93" s="61"/>
      <c r="G93" s="114"/>
      <c r="H93" s="114"/>
      <c r="I93" s="114"/>
      <c r="J93" s="118"/>
      <c r="K93" s="119"/>
      <c r="L93" s="119"/>
      <c r="M93" s="119"/>
      <c r="N93" s="119"/>
      <c r="O93" s="120"/>
      <c r="P93" s="114"/>
      <c r="Q93" s="114"/>
      <c r="R93" s="114"/>
      <c r="S93" s="128"/>
      <c r="T93" s="128"/>
      <c r="U93" s="128"/>
      <c r="V93" s="132"/>
      <c r="W93" s="133"/>
      <c r="X93" s="133"/>
      <c r="Y93" s="133"/>
      <c r="Z93" s="133"/>
      <c r="AA93" s="133"/>
      <c r="AB93" s="133"/>
      <c r="AC93" s="133"/>
      <c r="AD93" s="133"/>
      <c r="AE93" s="133"/>
      <c r="AF93" s="133"/>
      <c r="AG93" s="133"/>
      <c r="AH93" s="133"/>
      <c r="AI93" s="133"/>
      <c r="AJ93" s="133"/>
      <c r="AK93" s="133"/>
      <c r="AL93" s="133"/>
      <c r="AM93" s="134"/>
      <c r="AN93" s="114"/>
      <c r="AO93" s="114"/>
      <c r="AP93" s="114"/>
      <c r="AQ93" s="114"/>
      <c r="AR93" s="114"/>
      <c r="AS93" s="114"/>
      <c r="AT93" s="114"/>
      <c r="AU93" s="62"/>
      <c r="AV93" s="63"/>
      <c r="AW93" s="64"/>
      <c r="AX93" s="62"/>
      <c r="AY93" s="62"/>
      <c r="AZ93" s="62"/>
      <c r="BA93" s="62"/>
      <c r="BB93" s="62"/>
      <c r="BC93" s="62"/>
      <c r="BD93" s="62"/>
      <c r="BE93" s="62"/>
      <c r="BF93" s="63"/>
      <c r="BG93" s="71"/>
      <c r="BH93" s="72"/>
      <c r="BI93" s="72"/>
      <c r="BJ93" s="72"/>
      <c r="BK93" s="72"/>
      <c r="BL93" s="73"/>
      <c r="BM93" s="52"/>
      <c r="BO93" s="74"/>
      <c r="BP93" s="75"/>
      <c r="BQ93" s="54"/>
      <c r="BR93" s="74"/>
      <c r="BS93" s="75"/>
      <c r="BT93" s="75"/>
      <c r="BU93" s="75"/>
      <c r="BV93" s="75"/>
      <c r="BW93" s="54"/>
      <c r="BX93" s="38"/>
      <c r="BY93" s="55"/>
      <c r="BZ93" s="55"/>
    </row>
    <row r="94" spans="1:78" s="3" customFormat="1" ht="18.649999999999999" customHeight="1" x14ac:dyDescent="0.2">
      <c r="A94" s="137">
        <f t="shared" ref="A94" si="111">A97+1</f>
        <v>26</v>
      </c>
      <c r="B94" s="138"/>
      <c r="C94" s="179">
        <v>40909</v>
      </c>
      <c r="D94" s="180"/>
      <c r="E94" s="180"/>
      <c r="F94" s="180"/>
      <c r="G94" s="165" t="s">
        <v>191</v>
      </c>
      <c r="H94" s="114"/>
      <c r="I94" s="114"/>
      <c r="J94" s="168" t="s">
        <v>192</v>
      </c>
      <c r="K94" s="169"/>
      <c r="L94" s="169"/>
      <c r="M94" s="169"/>
      <c r="N94" s="169"/>
      <c r="O94" s="170"/>
      <c r="P94" s="114">
        <v>50</v>
      </c>
      <c r="Q94" s="114"/>
      <c r="R94" s="114"/>
      <c r="S94" s="128" t="s">
        <v>123</v>
      </c>
      <c r="T94" s="128"/>
      <c r="U94" s="128"/>
      <c r="V94" s="286" t="s">
        <v>290</v>
      </c>
      <c r="W94" s="287"/>
      <c r="X94" s="287"/>
      <c r="Y94" s="287"/>
      <c r="Z94" s="287"/>
      <c r="AA94" s="287"/>
      <c r="AB94" s="287"/>
      <c r="AC94" s="287"/>
      <c r="AD94" s="287"/>
      <c r="AE94" s="287"/>
      <c r="AF94" s="287"/>
      <c r="AG94" s="287"/>
      <c r="AH94" s="287"/>
      <c r="AI94" s="287"/>
      <c r="AJ94" s="287"/>
      <c r="AK94" s="287"/>
      <c r="AL94" s="287"/>
      <c r="AM94" s="288"/>
      <c r="AN94" s="165" t="s">
        <v>193</v>
      </c>
      <c r="AO94" s="114"/>
      <c r="AP94" s="114"/>
      <c r="AQ94" s="114"/>
      <c r="AR94" s="114"/>
      <c r="AS94" s="114"/>
      <c r="AT94" s="114"/>
      <c r="AU94" s="62" t="s">
        <v>40</v>
      </c>
      <c r="AV94" s="63"/>
      <c r="AW94" s="64"/>
      <c r="AX94" s="62" t="s">
        <v>40</v>
      </c>
      <c r="AY94" s="62" t="s">
        <v>40</v>
      </c>
      <c r="AZ94" s="62" t="s">
        <v>40</v>
      </c>
      <c r="BA94" s="62" t="s">
        <v>40</v>
      </c>
      <c r="BB94" s="62" t="s">
        <v>40</v>
      </c>
      <c r="BC94" s="62" t="s">
        <v>40</v>
      </c>
      <c r="BD94" s="62" t="s">
        <v>40</v>
      </c>
      <c r="BE94" s="62" t="s">
        <v>40</v>
      </c>
      <c r="BF94" s="63" t="s">
        <v>40</v>
      </c>
      <c r="BG94" s="65"/>
      <c r="BH94" s="66"/>
      <c r="BI94" s="66"/>
      <c r="BJ94" s="66"/>
      <c r="BK94" s="66"/>
      <c r="BL94" s="67"/>
      <c r="BM94" s="52"/>
      <c r="BO94" s="74" t="e">
        <f>IF(#REF!="●",SUM(DATEDIF($C94,$C95,"M"),1),"")</f>
        <v>#REF!</v>
      </c>
      <c r="BP94" s="75">
        <f>IF(AU94="●",SUM(DATEDIF($C94,$C95,"M"),1),"")</f>
        <v>18</v>
      </c>
      <c r="BQ94" s="54" t="str">
        <f>IF(AV94="●",SUM(DATEDIF($C94,$C95,"M"),1),"")</f>
        <v/>
      </c>
      <c r="BR94" s="74" t="str">
        <f t="shared" ref="BR94" si="112">IF(BR$38=$S94,SUM(DATEDIF($C94,$C95,"M"),1),"")</f>
        <v/>
      </c>
      <c r="BS94" s="75" t="str">
        <f t="shared" ref="BS94" si="113">IF(BS$38=$S94,SUM(DATEDIF($C94,$C95,"M"),1),"")</f>
        <v/>
      </c>
      <c r="BT94" s="75">
        <f t="shared" ref="BT94" si="114">IF(BT$38=$S94,SUM(DATEDIF($C94,$C95,"M"),1),"")</f>
        <v>18</v>
      </c>
      <c r="BU94" s="75" t="str">
        <f t="shared" ref="BU94" si="115">IF(BU$38=$S94,SUM(DATEDIF($C94,$C95,"M"),1),"")</f>
        <v/>
      </c>
      <c r="BV94" s="75" t="str">
        <f t="shared" ref="BV94" si="116">IF(BV$38=$S94,SUM(DATEDIF($C94,$C95,"M"),1),"")</f>
        <v/>
      </c>
      <c r="BW94" s="54" t="str">
        <f t="shared" ref="BW94" si="117">IF(BW$38=$S94,SUM(DATEDIF($C94,$C95,"M"),1),"")</f>
        <v/>
      </c>
      <c r="BX94" s="38"/>
      <c r="BY94" s="55">
        <f t="shared" ref="BY94" si="118">SUM(BR94:BW96)</f>
        <v>18</v>
      </c>
      <c r="BZ94" s="55" t="str">
        <f>C96</f>
        <v>&lt;18ヶ月&gt;</v>
      </c>
    </row>
    <row r="95" spans="1:78" s="3" customFormat="1" ht="18.649999999999999" customHeight="1" x14ac:dyDescent="0.2">
      <c r="A95" s="137"/>
      <c r="B95" s="138"/>
      <c r="C95" s="56">
        <v>41426</v>
      </c>
      <c r="D95" s="57"/>
      <c r="E95" s="57"/>
      <c r="F95" s="58"/>
      <c r="G95" s="114"/>
      <c r="H95" s="114"/>
      <c r="I95" s="114"/>
      <c r="J95" s="115"/>
      <c r="K95" s="116"/>
      <c r="L95" s="116"/>
      <c r="M95" s="116"/>
      <c r="N95" s="116"/>
      <c r="O95" s="117"/>
      <c r="P95" s="114"/>
      <c r="Q95" s="114"/>
      <c r="R95" s="114"/>
      <c r="S95" s="128"/>
      <c r="T95" s="128"/>
      <c r="U95" s="128"/>
      <c r="V95" s="289"/>
      <c r="W95" s="290"/>
      <c r="X95" s="290"/>
      <c r="Y95" s="290"/>
      <c r="Z95" s="290"/>
      <c r="AA95" s="290"/>
      <c r="AB95" s="290"/>
      <c r="AC95" s="290"/>
      <c r="AD95" s="290"/>
      <c r="AE95" s="290"/>
      <c r="AF95" s="290"/>
      <c r="AG95" s="290"/>
      <c r="AH95" s="290"/>
      <c r="AI95" s="290"/>
      <c r="AJ95" s="290"/>
      <c r="AK95" s="290"/>
      <c r="AL95" s="290"/>
      <c r="AM95" s="291"/>
      <c r="AN95" s="114"/>
      <c r="AO95" s="114"/>
      <c r="AP95" s="114"/>
      <c r="AQ95" s="114"/>
      <c r="AR95" s="114"/>
      <c r="AS95" s="114"/>
      <c r="AT95" s="114"/>
      <c r="AU95" s="62"/>
      <c r="AV95" s="63"/>
      <c r="AW95" s="64"/>
      <c r="AX95" s="62"/>
      <c r="AY95" s="62"/>
      <c r="AZ95" s="62"/>
      <c r="BA95" s="62"/>
      <c r="BB95" s="62"/>
      <c r="BC95" s="62"/>
      <c r="BD95" s="62"/>
      <c r="BE95" s="62"/>
      <c r="BF95" s="63"/>
      <c r="BG95" s="68"/>
      <c r="BH95" s="69"/>
      <c r="BI95" s="69"/>
      <c r="BJ95" s="69"/>
      <c r="BK95" s="69"/>
      <c r="BL95" s="70"/>
      <c r="BM95" s="52"/>
      <c r="BO95" s="74"/>
      <c r="BP95" s="75"/>
      <c r="BQ95" s="54"/>
      <c r="BR95" s="74"/>
      <c r="BS95" s="75"/>
      <c r="BT95" s="75"/>
      <c r="BU95" s="75"/>
      <c r="BV95" s="75"/>
      <c r="BW95" s="54"/>
      <c r="BX95" s="38"/>
      <c r="BY95" s="55"/>
      <c r="BZ95" s="55"/>
    </row>
    <row r="96" spans="1:78" s="3" customFormat="1" ht="52.9" customHeight="1" x14ac:dyDescent="0.2">
      <c r="A96" s="137"/>
      <c r="B96" s="138"/>
      <c r="C96" s="59" t="str">
        <f>CONCATENATE("&lt;",SUM(DATEDIF(C94,C95,"M"),1),"ヶ月&gt;")</f>
        <v>&lt;18ヶ月&gt;</v>
      </c>
      <c r="D96" s="60"/>
      <c r="E96" s="60"/>
      <c r="F96" s="61"/>
      <c r="G96" s="114"/>
      <c r="H96" s="114"/>
      <c r="I96" s="114"/>
      <c r="J96" s="118"/>
      <c r="K96" s="119"/>
      <c r="L96" s="119"/>
      <c r="M96" s="119"/>
      <c r="N96" s="119"/>
      <c r="O96" s="120"/>
      <c r="P96" s="114"/>
      <c r="Q96" s="114"/>
      <c r="R96" s="114"/>
      <c r="S96" s="128"/>
      <c r="T96" s="128"/>
      <c r="U96" s="128"/>
      <c r="V96" s="292"/>
      <c r="W96" s="293"/>
      <c r="X96" s="293"/>
      <c r="Y96" s="293"/>
      <c r="Z96" s="293"/>
      <c r="AA96" s="293"/>
      <c r="AB96" s="293"/>
      <c r="AC96" s="293"/>
      <c r="AD96" s="293"/>
      <c r="AE96" s="293"/>
      <c r="AF96" s="293"/>
      <c r="AG96" s="293"/>
      <c r="AH96" s="293"/>
      <c r="AI96" s="293"/>
      <c r="AJ96" s="293"/>
      <c r="AK96" s="293"/>
      <c r="AL96" s="293"/>
      <c r="AM96" s="294"/>
      <c r="AN96" s="114"/>
      <c r="AO96" s="114"/>
      <c r="AP96" s="114"/>
      <c r="AQ96" s="114"/>
      <c r="AR96" s="114"/>
      <c r="AS96" s="114"/>
      <c r="AT96" s="114"/>
      <c r="AU96" s="62"/>
      <c r="AV96" s="63"/>
      <c r="AW96" s="64"/>
      <c r="AX96" s="62"/>
      <c r="AY96" s="62"/>
      <c r="AZ96" s="62"/>
      <c r="BA96" s="62"/>
      <c r="BB96" s="62"/>
      <c r="BC96" s="62"/>
      <c r="BD96" s="62"/>
      <c r="BE96" s="62"/>
      <c r="BF96" s="63"/>
      <c r="BG96" s="71"/>
      <c r="BH96" s="72"/>
      <c r="BI96" s="72"/>
      <c r="BJ96" s="72"/>
      <c r="BK96" s="72"/>
      <c r="BL96" s="73"/>
      <c r="BM96" s="52"/>
      <c r="BO96" s="74"/>
      <c r="BP96" s="75"/>
      <c r="BQ96" s="54"/>
      <c r="BR96" s="74"/>
      <c r="BS96" s="75"/>
      <c r="BT96" s="75"/>
      <c r="BU96" s="75"/>
      <c r="BV96" s="75"/>
      <c r="BW96" s="54"/>
      <c r="BX96" s="38"/>
      <c r="BY96" s="55"/>
      <c r="BZ96" s="55"/>
    </row>
    <row r="97" spans="1:78" s="3" customFormat="1" ht="18.649999999999999" customHeight="1" x14ac:dyDescent="0.2">
      <c r="A97" s="137">
        <f t="shared" ref="A97" si="119">A100+1</f>
        <v>25</v>
      </c>
      <c r="B97" s="138"/>
      <c r="C97" s="179">
        <v>40603</v>
      </c>
      <c r="D97" s="180"/>
      <c r="E97" s="180"/>
      <c r="F97" s="180"/>
      <c r="G97" s="165" t="s">
        <v>137</v>
      </c>
      <c r="H97" s="114"/>
      <c r="I97" s="114"/>
      <c r="J97" s="168" t="s">
        <v>279</v>
      </c>
      <c r="K97" s="169"/>
      <c r="L97" s="169"/>
      <c r="M97" s="169"/>
      <c r="N97" s="169"/>
      <c r="O97" s="170"/>
      <c r="P97" s="114">
        <v>1000</v>
      </c>
      <c r="Q97" s="114"/>
      <c r="R97" s="114"/>
      <c r="S97" s="128" t="s">
        <v>122</v>
      </c>
      <c r="T97" s="128"/>
      <c r="U97" s="128"/>
      <c r="V97" s="184" t="s">
        <v>287</v>
      </c>
      <c r="W97" s="185"/>
      <c r="X97" s="185"/>
      <c r="Y97" s="185"/>
      <c r="Z97" s="185"/>
      <c r="AA97" s="185"/>
      <c r="AB97" s="185"/>
      <c r="AC97" s="185"/>
      <c r="AD97" s="185"/>
      <c r="AE97" s="185"/>
      <c r="AF97" s="185"/>
      <c r="AG97" s="185"/>
      <c r="AH97" s="185"/>
      <c r="AI97" s="185"/>
      <c r="AJ97" s="185"/>
      <c r="AK97" s="185"/>
      <c r="AL97" s="185"/>
      <c r="AM97" s="186"/>
      <c r="AN97" s="165" t="s">
        <v>194</v>
      </c>
      <c r="AO97" s="114"/>
      <c r="AP97" s="114"/>
      <c r="AQ97" s="114"/>
      <c r="AR97" s="114"/>
      <c r="AS97" s="114"/>
      <c r="AT97" s="114"/>
      <c r="AU97" s="62" t="s">
        <v>40</v>
      </c>
      <c r="AV97" s="63"/>
      <c r="AW97" s="64"/>
      <c r="AX97" s="62" t="s">
        <v>40</v>
      </c>
      <c r="AY97" s="62" t="s">
        <v>40</v>
      </c>
      <c r="AZ97" s="62" t="s">
        <v>40</v>
      </c>
      <c r="BA97" s="62" t="s">
        <v>40</v>
      </c>
      <c r="BB97" s="62" t="s">
        <v>40</v>
      </c>
      <c r="BC97" s="62"/>
      <c r="BD97" s="62"/>
      <c r="BE97" s="62" t="s">
        <v>41</v>
      </c>
      <c r="BF97" s="63"/>
      <c r="BG97" s="65"/>
      <c r="BH97" s="66"/>
      <c r="BI97" s="66"/>
      <c r="BJ97" s="66"/>
      <c r="BK97" s="66"/>
      <c r="BL97" s="67"/>
      <c r="BM97" s="52"/>
      <c r="BO97" s="74" t="e">
        <f>IF(#REF!="●",SUM(DATEDIF($C97,$C98,"M"),1),"")</f>
        <v>#REF!</v>
      </c>
      <c r="BP97" s="75">
        <f>IF(AU97="●",SUM(DATEDIF($C97,$C98,"M"),1),"")</f>
        <v>10</v>
      </c>
      <c r="BQ97" s="54" t="str">
        <f>IF(AV97="●",SUM(DATEDIF($C97,$C98,"M"),1),"")</f>
        <v/>
      </c>
      <c r="BR97" s="74" t="str">
        <f t="shared" ref="BR97" si="120">IF(BR$38=$S97,SUM(DATEDIF($C97,$C98,"M"),1),"")</f>
        <v/>
      </c>
      <c r="BS97" s="75">
        <f t="shared" ref="BS97" si="121">IF(BS$38=$S97,SUM(DATEDIF($C97,$C98,"M"),1),"")</f>
        <v>10</v>
      </c>
      <c r="BT97" s="75" t="str">
        <f t="shared" ref="BT97" si="122">IF(BT$38=$S97,SUM(DATEDIF($C97,$C98,"M"),1),"")</f>
        <v/>
      </c>
      <c r="BU97" s="75" t="str">
        <f t="shared" ref="BU97" si="123">IF(BU$38=$S97,SUM(DATEDIF($C97,$C98,"M"),1),"")</f>
        <v/>
      </c>
      <c r="BV97" s="75" t="str">
        <f t="shared" ref="BV97" si="124">IF(BV$38=$S97,SUM(DATEDIF($C97,$C98,"M"),1),"")</f>
        <v/>
      </c>
      <c r="BW97" s="54" t="str">
        <f t="shared" ref="BW97" si="125">IF(BW$38=$S97,SUM(DATEDIF($C97,$C98,"M"),1),"")</f>
        <v/>
      </c>
      <c r="BX97" s="38"/>
      <c r="BY97" s="55">
        <f t="shared" ref="BY97" si="126">SUM(BR97:BW99)</f>
        <v>10</v>
      </c>
      <c r="BZ97" s="55" t="str">
        <f>C99</f>
        <v>&lt;10ヶ月&gt;</v>
      </c>
    </row>
    <row r="98" spans="1:78" s="3" customFormat="1" ht="18.649999999999999" customHeight="1" x14ac:dyDescent="0.2">
      <c r="A98" s="137"/>
      <c r="B98" s="138"/>
      <c r="C98" s="56">
        <v>40908</v>
      </c>
      <c r="D98" s="57"/>
      <c r="E98" s="57"/>
      <c r="F98" s="58"/>
      <c r="G98" s="114"/>
      <c r="H98" s="114"/>
      <c r="I98" s="114"/>
      <c r="J98" s="115"/>
      <c r="K98" s="116"/>
      <c r="L98" s="116"/>
      <c r="M98" s="116"/>
      <c r="N98" s="116"/>
      <c r="O98" s="117"/>
      <c r="P98" s="114"/>
      <c r="Q98" s="114"/>
      <c r="R98" s="114"/>
      <c r="S98" s="128"/>
      <c r="T98" s="128"/>
      <c r="U98" s="128"/>
      <c r="V98" s="129"/>
      <c r="W98" s="130"/>
      <c r="X98" s="130"/>
      <c r="Y98" s="130"/>
      <c r="Z98" s="130"/>
      <c r="AA98" s="130"/>
      <c r="AB98" s="130"/>
      <c r="AC98" s="130"/>
      <c r="AD98" s="130"/>
      <c r="AE98" s="130"/>
      <c r="AF98" s="130"/>
      <c r="AG98" s="130"/>
      <c r="AH98" s="130"/>
      <c r="AI98" s="130"/>
      <c r="AJ98" s="130"/>
      <c r="AK98" s="130"/>
      <c r="AL98" s="130"/>
      <c r="AM98" s="131"/>
      <c r="AN98" s="114"/>
      <c r="AO98" s="114"/>
      <c r="AP98" s="114"/>
      <c r="AQ98" s="114"/>
      <c r="AR98" s="114"/>
      <c r="AS98" s="114"/>
      <c r="AT98" s="114"/>
      <c r="AU98" s="62"/>
      <c r="AV98" s="63"/>
      <c r="AW98" s="64"/>
      <c r="AX98" s="62"/>
      <c r="AY98" s="62"/>
      <c r="AZ98" s="62"/>
      <c r="BA98" s="62"/>
      <c r="BB98" s="62"/>
      <c r="BC98" s="62"/>
      <c r="BD98" s="62"/>
      <c r="BE98" s="62"/>
      <c r="BF98" s="63"/>
      <c r="BG98" s="68"/>
      <c r="BH98" s="69"/>
      <c r="BI98" s="69"/>
      <c r="BJ98" s="69"/>
      <c r="BK98" s="69"/>
      <c r="BL98" s="70"/>
      <c r="BM98" s="52"/>
      <c r="BO98" s="74"/>
      <c r="BP98" s="75"/>
      <c r="BQ98" s="54"/>
      <c r="BR98" s="74"/>
      <c r="BS98" s="75"/>
      <c r="BT98" s="75"/>
      <c r="BU98" s="75"/>
      <c r="BV98" s="75"/>
      <c r="BW98" s="54"/>
      <c r="BX98" s="38"/>
      <c r="BY98" s="55"/>
      <c r="BZ98" s="55"/>
    </row>
    <row r="99" spans="1:78" s="3" customFormat="1" ht="42" customHeight="1" x14ac:dyDescent="0.2">
      <c r="A99" s="137"/>
      <c r="B99" s="138"/>
      <c r="C99" s="59" t="str">
        <f>CONCATENATE("&lt;",SUM(DATEDIF(C97,C98,"M"),1),"ヶ月&gt;")</f>
        <v>&lt;10ヶ月&gt;</v>
      </c>
      <c r="D99" s="60"/>
      <c r="E99" s="60"/>
      <c r="F99" s="61"/>
      <c r="G99" s="114"/>
      <c r="H99" s="114"/>
      <c r="I99" s="114"/>
      <c r="J99" s="118"/>
      <c r="K99" s="119"/>
      <c r="L99" s="119"/>
      <c r="M99" s="119"/>
      <c r="N99" s="119"/>
      <c r="O99" s="120"/>
      <c r="P99" s="114"/>
      <c r="Q99" s="114"/>
      <c r="R99" s="114"/>
      <c r="S99" s="128"/>
      <c r="T99" s="128"/>
      <c r="U99" s="128"/>
      <c r="V99" s="132"/>
      <c r="W99" s="133"/>
      <c r="X99" s="133"/>
      <c r="Y99" s="133"/>
      <c r="Z99" s="133"/>
      <c r="AA99" s="133"/>
      <c r="AB99" s="133"/>
      <c r="AC99" s="133"/>
      <c r="AD99" s="133"/>
      <c r="AE99" s="133"/>
      <c r="AF99" s="133"/>
      <c r="AG99" s="133"/>
      <c r="AH99" s="133"/>
      <c r="AI99" s="133"/>
      <c r="AJ99" s="133"/>
      <c r="AK99" s="133"/>
      <c r="AL99" s="133"/>
      <c r="AM99" s="134"/>
      <c r="AN99" s="114"/>
      <c r="AO99" s="114"/>
      <c r="AP99" s="114"/>
      <c r="AQ99" s="114"/>
      <c r="AR99" s="114"/>
      <c r="AS99" s="114"/>
      <c r="AT99" s="114"/>
      <c r="AU99" s="62"/>
      <c r="AV99" s="63"/>
      <c r="AW99" s="64"/>
      <c r="AX99" s="62"/>
      <c r="AY99" s="62"/>
      <c r="AZ99" s="62"/>
      <c r="BA99" s="62"/>
      <c r="BB99" s="62"/>
      <c r="BC99" s="62"/>
      <c r="BD99" s="62"/>
      <c r="BE99" s="62"/>
      <c r="BF99" s="63"/>
      <c r="BG99" s="71"/>
      <c r="BH99" s="72"/>
      <c r="BI99" s="72"/>
      <c r="BJ99" s="72"/>
      <c r="BK99" s="72"/>
      <c r="BL99" s="73"/>
      <c r="BM99" s="52"/>
      <c r="BO99" s="74"/>
      <c r="BP99" s="75"/>
      <c r="BQ99" s="54"/>
      <c r="BR99" s="74"/>
      <c r="BS99" s="75"/>
      <c r="BT99" s="75"/>
      <c r="BU99" s="75"/>
      <c r="BV99" s="75"/>
      <c r="BW99" s="54"/>
      <c r="BX99" s="38"/>
      <c r="BY99" s="55"/>
      <c r="BZ99" s="55"/>
    </row>
    <row r="100" spans="1:78" s="3" customFormat="1" ht="18.649999999999999" customHeight="1" x14ac:dyDescent="0.2">
      <c r="A100" s="137">
        <f t="shared" ref="A100" si="127">A103+1</f>
        <v>24</v>
      </c>
      <c r="B100" s="138"/>
      <c r="C100" s="179">
        <v>40466</v>
      </c>
      <c r="D100" s="180"/>
      <c r="E100" s="180"/>
      <c r="F100" s="180"/>
      <c r="G100" s="165" t="s">
        <v>195</v>
      </c>
      <c r="H100" s="114"/>
      <c r="I100" s="114"/>
      <c r="J100" s="168" t="s">
        <v>196</v>
      </c>
      <c r="K100" s="169"/>
      <c r="L100" s="169"/>
      <c r="M100" s="169"/>
      <c r="N100" s="169"/>
      <c r="O100" s="170"/>
      <c r="P100" s="114">
        <v>150</v>
      </c>
      <c r="Q100" s="114"/>
      <c r="R100" s="114"/>
      <c r="S100" s="128" t="s">
        <v>123</v>
      </c>
      <c r="T100" s="128"/>
      <c r="U100" s="128"/>
      <c r="V100" s="184" t="s">
        <v>197</v>
      </c>
      <c r="W100" s="185"/>
      <c r="X100" s="185"/>
      <c r="Y100" s="185"/>
      <c r="Z100" s="185"/>
      <c r="AA100" s="185"/>
      <c r="AB100" s="185"/>
      <c r="AC100" s="185"/>
      <c r="AD100" s="185"/>
      <c r="AE100" s="185"/>
      <c r="AF100" s="185"/>
      <c r="AG100" s="185"/>
      <c r="AH100" s="185"/>
      <c r="AI100" s="185"/>
      <c r="AJ100" s="185"/>
      <c r="AK100" s="185"/>
      <c r="AL100" s="185"/>
      <c r="AM100" s="186"/>
      <c r="AN100" s="165" t="s">
        <v>198</v>
      </c>
      <c r="AO100" s="114"/>
      <c r="AP100" s="114"/>
      <c r="AQ100" s="114"/>
      <c r="AR100" s="114"/>
      <c r="AS100" s="114"/>
      <c r="AT100" s="114"/>
      <c r="AU100" s="62"/>
      <c r="AV100" s="63" t="s">
        <v>40</v>
      </c>
      <c r="AW100" s="64"/>
      <c r="AX100" s="62"/>
      <c r="AY100" s="62"/>
      <c r="AZ100" s="62"/>
      <c r="BA100" s="62"/>
      <c r="BB100" s="62" t="s">
        <v>40</v>
      </c>
      <c r="BC100" s="62" t="s">
        <v>40</v>
      </c>
      <c r="BD100" s="62" t="s">
        <v>40</v>
      </c>
      <c r="BE100" s="62"/>
      <c r="BF100" s="63"/>
      <c r="BG100" s="65"/>
      <c r="BH100" s="66"/>
      <c r="BI100" s="66"/>
      <c r="BJ100" s="66"/>
      <c r="BK100" s="66"/>
      <c r="BL100" s="67"/>
      <c r="BM100" s="52"/>
      <c r="BO100" s="74" t="e">
        <f>IF(#REF!="●",SUM(DATEDIF($C100,$C101,"M"),1),"")</f>
        <v>#REF!</v>
      </c>
      <c r="BP100" s="75" t="str">
        <f>IF(AU100="●",SUM(DATEDIF($C100,$C101,"M"),1),"")</f>
        <v/>
      </c>
      <c r="BQ100" s="54">
        <f>IF(AV100="●",SUM(DATEDIF($C100,$C101,"M"),1),"")</f>
        <v>5</v>
      </c>
      <c r="BR100" s="74" t="str">
        <f t="shared" ref="BR100" si="128">IF(BR$38=$S100,SUM(DATEDIF($C100,$C101,"M"),1),"")</f>
        <v/>
      </c>
      <c r="BS100" s="75" t="str">
        <f t="shared" ref="BS100" si="129">IF(BS$38=$S100,SUM(DATEDIF($C100,$C101,"M"),1),"")</f>
        <v/>
      </c>
      <c r="BT100" s="75">
        <f t="shared" ref="BT100" si="130">IF(BT$38=$S100,SUM(DATEDIF($C100,$C101,"M"),1),"")</f>
        <v>5</v>
      </c>
      <c r="BU100" s="75" t="str">
        <f t="shared" ref="BU100" si="131">IF(BU$38=$S100,SUM(DATEDIF($C100,$C101,"M"),1),"")</f>
        <v/>
      </c>
      <c r="BV100" s="75" t="str">
        <f t="shared" ref="BV100" si="132">IF(BV$38=$S100,SUM(DATEDIF($C100,$C101,"M"),1),"")</f>
        <v/>
      </c>
      <c r="BW100" s="54" t="str">
        <f t="shared" ref="BW100" si="133">IF(BW$38=$S100,SUM(DATEDIF($C100,$C101,"M"),1),"")</f>
        <v/>
      </c>
      <c r="BX100" s="38"/>
      <c r="BY100" s="55">
        <f t="shared" ref="BY100" si="134">SUM(BR100:BW102)</f>
        <v>5</v>
      </c>
      <c r="BZ100" s="55" t="str">
        <f>C102</f>
        <v>&lt;5ヶ月&gt;</v>
      </c>
    </row>
    <row r="101" spans="1:78" s="3" customFormat="1" ht="18.649999999999999" customHeight="1" x14ac:dyDescent="0.2">
      <c r="A101" s="137"/>
      <c r="B101" s="138"/>
      <c r="C101" s="56">
        <v>40602</v>
      </c>
      <c r="D101" s="57"/>
      <c r="E101" s="57"/>
      <c r="F101" s="58"/>
      <c r="G101" s="114"/>
      <c r="H101" s="114"/>
      <c r="I101" s="114"/>
      <c r="J101" s="115"/>
      <c r="K101" s="116"/>
      <c r="L101" s="116"/>
      <c r="M101" s="116"/>
      <c r="N101" s="116"/>
      <c r="O101" s="117"/>
      <c r="P101" s="114"/>
      <c r="Q101" s="114"/>
      <c r="R101" s="114"/>
      <c r="S101" s="128"/>
      <c r="T101" s="128"/>
      <c r="U101" s="128"/>
      <c r="V101" s="129"/>
      <c r="W101" s="130"/>
      <c r="X101" s="130"/>
      <c r="Y101" s="130"/>
      <c r="Z101" s="130"/>
      <c r="AA101" s="130"/>
      <c r="AB101" s="130"/>
      <c r="AC101" s="130"/>
      <c r="AD101" s="130"/>
      <c r="AE101" s="130"/>
      <c r="AF101" s="130"/>
      <c r="AG101" s="130"/>
      <c r="AH101" s="130"/>
      <c r="AI101" s="130"/>
      <c r="AJ101" s="130"/>
      <c r="AK101" s="130"/>
      <c r="AL101" s="130"/>
      <c r="AM101" s="131"/>
      <c r="AN101" s="114"/>
      <c r="AO101" s="114"/>
      <c r="AP101" s="114"/>
      <c r="AQ101" s="114"/>
      <c r="AR101" s="114"/>
      <c r="AS101" s="114"/>
      <c r="AT101" s="114"/>
      <c r="AU101" s="62"/>
      <c r="AV101" s="63"/>
      <c r="AW101" s="64"/>
      <c r="AX101" s="62"/>
      <c r="AY101" s="62"/>
      <c r="AZ101" s="62"/>
      <c r="BA101" s="62"/>
      <c r="BB101" s="62"/>
      <c r="BC101" s="62"/>
      <c r="BD101" s="62"/>
      <c r="BE101" s="62"/>
      <c r="BF101" s="63"/>
      <c r="BG101" s="68"/>
      <c r="BH101" s="69"/>
      <c r="BI101" s="69"/>
      <c r="BJ101" s="69"/>
      <c r="BK101" s="69"/>
      <c r="BL101" s="70"/>
      <c r="BM101" s="52"/>
      <c r="BO101" s="74"/>
      <c r="BP101" s="75"/>
      <c r="BQ101" s="54"/>
      <c r="BR101" s="74"/>
      <c r="BS101" s="75"/>
      <c r="BT101" s="75"/>
      <c r="BU101" s="75"/>
      <c r="BV101" s="75"/>
      <c r="BW101" s="54"/>
      <c r="BX101" s="38"/>
      <c r="BY101" s="55"/>
      <c r="BZ101" s="55"/>
    </row>
    <row r="102" spans="1:78" s="3" customFormat="1" ht="62.25" customHeight="1" x14ac:dyDescent="0.2">
      <c r="A102" s="137"/>
      <c r="B102" s="138"/>
      <c r="C102" s="59" t="str">
        <f>CONCATENATE("&lt;",SUM(DATEDIF(C100,C101,"M"),1),"ヶ月&gt;")</f>
        <v>&lt;5ヶ月&gt;</v>
      </c>
      <c r="D102" s="60"/>
      <c r="E102" s="60"/>
      <c r="F102" s="61"/>
      <c r="G102" s="114"/>
      <c r="H102" s="114"/>
      <c r="I102" s="114"/>
      <c r="J102" s="118"/>
      <c r="K102" s="119"/>
      <c r="L102" s="119"/>
      <c r="M102" s="119"/>
      <c r="N102" s="119"/>
      <c r="O102" s="120"/>
      <c r="P102" s="114"/>
      <c r="Q102" s="114"/>
      <c r="R102" s="114"/>
      <c r="S102" s="128"/>
      <c r="T102" s="128"/>
      <c r="U102" s="128"/>
      <c r="V102" s="132"/>
      <c r="W102" s="133"/>
      <c r="X102" s="133"/>
      <c r="Y102" s="133"/>
      <c r="Z102" s="133"/>
      <c r="AA102" s="133"/>
      <c r="AB102" s="133"/>
      <c r="AC102" s="133"/>
      <c r="AD102" s="133"/>
      <c r="AE102" s="133"/>
      <c r="AF102" s="133"/>
      <c r="AG102" s="133"/>
      <c r="AH102" s="133"/>
      <c r="AI102" s="133"/>
      <c r="AJ102" s="133"/>
      <c r="AK102" s="133"/>
      <c r="AL102" s="133"/>
      <c r="AM102" s="134"/>
      <c r="AN102" s="114"/>
      <c r="AO102" s="114"/>
      <c r="AP102" s="114"/>
      <c r="AQ102" s="114"/>
      <c r="AR102" s="114"/>
      <c r="AS102" s="114"/>
      <c r="AT102" s="114"/>
      <c r="AU102" s="62"/>
      <c r="AV102" s="63"/>
      <c r="AW102" s="64"/>
      <c r="AX102" s="62"/>
      <c r="AY102" s="62"/>
      <c r="AZ102" s="62"/>
      <c r="BA102" s="62"/>
      <c r="BB102" s="62"/>
      <c r="BC102" s="62"/>
      <c r="BD102" s="62"/>
      <c r="BE102" s="62"/>
      <c r="BF102" s="63"/>
      <c r="BG102" s="71"/>
      <c r="BH102" s="72"/>
      <c r="BI102" s="72"/>
      <c r="BJ102" s="72"/>
      <c r="BK102" s="72"/>
      <c r="BL102" s="73"/>
      <c r="BM102" s="52"/>
      <c r="BO102" s="74"/>
      <c r="BP102" s="75"/>
      <c r="BQ102" s="54"/>
      <c r="BR102" s="74"/>
      <c r="BS102" s="75"/>
      <c r="BT102" s="75"/>
      <c r="BU102" s="75"/>
      <c r="BV102" s="75"/>
      <c r="BW102" s="54"/>
      <c r="BX102" s="38"/>
      <c r="BY102" s="55"/>
      <c r="BZ102" s="55"/>
    </row>
    <row r="103" spans="1:78" s="3" customFormat="1" ht="18.649999999999999" customHeight="1" x14ac:dyDescent="0.2">
      <c r="A103" s="137">
        <f t="shared" ref="A103" si="135">A106+1</f>
        <v>23</v>
      </c>
      <c r="B103" s="138"/>
      <c r="C103" s="179">
        <v>40269</v>
      </c>
      <c r="D103" s="180"/>
      <c r="E103" s="180"/>
      <c r="F103" s="180"/>
      <c r="G103" s="165" t="s">
        <v>199</v>
      </c>
      <c r="H103" s="114"/>
      <c r="I103" s="114"/>
      <c r="J103" s="168" t="s">
        <v>200</v>
      </c>
      <c r="K103" s="169"/>
      <c r="L103" s="169"/>
      <c r="M103" s="169"/>
      <c r="N103" s="169"/>
      <c r="O103" s="170"/>
      <c r="P103" s="114">
        <v>50</v>
      </c>
      <c r="Q103" s="114"/>
      <c r="R103" s="114"/>
      <c r="S103" s="128" t="s">
        <v>155</v>
      </c>
      <c r="T103" s="128"/>
      <c r="U103" s="128"/>
      <c r="V103" s="184" t="s">
        <v>201</v>
      </c>
      <c r="W103" s="185"/>
      <c r="X103" s="185"/>
      <c r="Y103" s="185"/>
      <c r="Z103" s="185"/>
      <c r="AA103" s="185"/>
      <c r="AB103" s="185"/>
      <c r="AC103" s="185"/>
      <c r="AD103" s="185"/>
      <c r="AE103" s="185"/>
      <c r="AF103" s="185"/>
      <c r="AG103" s="185"/>
      <c r="AH103" s="185"/>
      <c r="AI103" s="185"/>
      <c r="AJ103" s="185"/>
      <c r="AK103" s="185"/>
      <c r="AL103" s="185"/>
      <c r="AM103" s="186"/>
      <c r="AN103" s="165" t="s">
        <v>202</v>
      </c>
      <c r="AO103" s="114"/>
      <c r="AP103" s="114"/>
      <c r="AQ103" s="114"/>
      <c r="AR103" s="114"/>
      <c r="AS103" s="114"/>
      <c r="AT103" s="114"/>
      <c r="AU103" s="62" t="s">
        <v>40</v>
      </c>
      <c r="AV103" s="63"/>
      <c r="AW103" s="64"/>
      <c r="AX103" s="62" t="s">
        <v>40</v>
      </c>
      <c r="AY103" s="62" t="s">
        <v>40</v>
      </c>
      <c r="AZ103" s="62" t="s">
        <v>40</v>
      </c>
      <c r="BA103" s="62" t="s">
        <v>40</v>
      </c>
      <c r="BB103" s="62"/>
      <c r="BC103" s="62"/>
      <c r="BD103" s="62"/>
      <c r="BE103" s="62"/>
      <c r="BF103" s="63"/>
      <c r="BG103" s="65"/>
      <c r="BH103" s="66"/>
      <c r="BI103" s="66"/>
      <c r="BJ103" s="66"/>
      <c r="BK103" s="66"/>
      <c r="BL103" s="67"/>
      <c r="BM103" s="52"/>
      <c r="BO103" s="74" t="e">
        <f>IF(#REF!="●",SUM(DATEDIF($C103,$C104,"M"),1),"")</f>
        <v>#REF!</v>
      </c>
      <c r="BP103" s="75">
        <f>IF(AU103="●",SUM(DATEDIF($C103,$C104,"M"),1),"")</f>
        <v>6</v>
      </c>
      <c r="BQ103" s="54" t="str">
        <f>IF(AV103="●",SUM(DATEDIF($C103,$C104,"M"),1),"")</f>
        <v/>
      </c>
      <c r="BR103" s="74" t="str">
        <f t="shared" ref="BR103" si="136">IF(BR$38=$S103,SUM(DATEDIF($C103,$C104,"M"),1),"")</f>
        <v/>
      </c>
      <c r="BS103" s="75" t="str">
        <f t="shared" ref="BS103" si="137">IF(BS$38=$S103,SUM(DATEDIF($C103,$C104,"M"),1),"")</f>
        <v/>
      </c>
      <c r="BT103" s="75">
        <f t="shared" ref="BT103" si="138">IF(BT$38=$S103,SUM(DATEDIF($C103,$C104,"M"),1),"")</f>
        <v>6</v>
      </c>
      <c r="BU103" s="75" t="str">
        <f t="shared" ref="BU103" si="139">IF(BU$38=$S103,SUM(DATEDIF($C103,$C104,"M"),1),"")</f>
        <v/>
      </c>
      <c r="BV103" s="75" t="str">
        <f t="shared" ref="BV103" si="140">IF(BV$38=$S103,SUM(DATEDIF($C103,$C104,"M"),1),"")</f>
        <v/>
      </c>
      <c r="BW103" s="54" t="str">
        <f t="shared" ref="BW103" si="141">IF(BW$38=$S103,SUM(DATEDIF($C103,$C104,"M"),1),"")</f>
        <v/>
      </c>
      <c r="BX103" s="38"/>
      <c r="BY103" s="55">
        <f t="shared" ref="BY103" si="142">SUM(BR103:BW105)</f>
        <v>6</v>
      </c>
      <c r="BZ103" s="55" t="str">
        <f>C105</f>
        <v>&lt;6ヶ月&gt;</v>
      </c>
    </row>
    <row r="104" spans="1:78" s="3" customFormat="1" ht="18.649999999999999" customHeight="1" x14ac:dyDescent="0.2">
      <c r="A104" s="137"/>
      <c r="B104" s="138"/>
      <c r="C104" s="56">
        <v>40422</v>
      </c>
      <c r="D104" s="57"/>
      <c r="E104" s="57"/>
      <c r="F104" s="58"/>
      <c r="G104" s="114"/>
      <c r="H104" s="114"/>
      <c r="I104" s="114"/>
      <c r="J104" s="115"/>
      <c r="K104" s="116"/>
      <c r="L104" s="116"/>
      <c r="M104" s="116"/>
      <c r="N104" s="116"/>
      <c r="O104" s="117"/>
      <c r="P104" s="114"/>
      <c r="Q104" s="114"/>
      <c r="R104" s="114"/>
      <c r="S104" s="128"/>
      <c r="T104" s="128"/>
      <c r="U104" s="128"/>
      <c r="V104" s="129"/>
      <c r="W104" s="130"/>
      <c r="X104" s="130"/>
      <c r="Y104" s="130"/>
      <c r="Z104" s="130"/>
      <c r="AA104" s="130"/>
      <c r="AB104" s="130"/>
      <c r="AC104" s="130"/>
      <c r="AD104" s="130"/>
      <c r="AE104" s="130"/>
      <c r="AF104" s="130"/>
      <c r="AG104" s="130"/>
      <c r="AH104" s="130"/>
      <c r="AI104" s="130"/>
      <c r="AJ104" s="130"/>
      <c r="AK104" s="130"/>
      <c r="AL104" s="130"/>
      <c r="AM104" s="131"/>
      <c r="AN104" s="114"/>
      <c r="AO104" s="114"/>
      <c r="AP104" s="114"/>
      <c r="AQ104" s="114"/>
      <c r="AR104" s="114"/>
      <c r="AS104" s="114"/>
      <c r="AT104" s="114"/>
      <c r="AU104" s="62"/>
      <c r="AV104" s="63"/>
      <c r="AW104" s="64"/>
      <c r="AX104" s="62"/>
      <c r="AY104" s="62"/>
      <c r="AZ104" s="62"/>
      <c r="BA104" s="62"/>
      <c r="BB104" s="62"/>
      <c r="BC104" s="62"/>
      <c r="BD104" s="62"/>
      <c r="BE104" s="62"/>
      <c r="BF104" s="63"/>
      <c r="BG104" s="68"/>
      <c r="BH104" s="69"/>
      <c r="BI104" s="69"/>
      <c r="BJ104" s="69"/>
      <c r="BK104" s="69"/>
      <c r="BL104" s="70"/>
      <c r="BM104" s="52"/>
      <c r="BO104" s="74"/>
      <c r="BP104" s="75"/>
      <c r="BQ104" s="54"/>
      <c r="BR104" s="74"/>
      <c r="BS104" s="75"/>
      <c r="BT104" s="75"/>
      <c r="BU104" s="75"/>
      <c r="BV104" s="75"/>
      <c r="BW104" s="54"/>
      <c r="BX104" s="38"/>
      <c r="BY104" s="55"/>
      <c r="BZ104" s="55"/>
    </row>
    <row r="105" spans="1:78" s="3" customFormat="1" ht="60" customHeight="1" x14ac:dyDescent="0.2">
      <c r="A105" s="137"/>
      <c r="B105" s="138"/>
      <c r="C105" s="59" t="str">
        <f>CONCATENATE("&lt;",SUM(DATEDIF(C103,C104,"M"),1),"ヶ月&gt;")</f>
        <v>&lt;6ヶ月&gt;</v>
      </c>
      <c r="D105" s="60"/>
      <c r="E105" s="60"/>
      <c r="F105" s="61"/>
      <c r="G105" s="114"/>
      <c r="H105" s="114"/>
      <c r="I105" s="114"/>
      <c r="J105" s="118"/>
      <c r="K105" s="119"/>
      <c r="L105" s="119"/>
      <c r="M105" s="119"/>
      <c r="N105" s="119"/>
      <c r="O105" s="120"/>
      <c r="P105" s="114"/>
      <c r="Q105" s="114"/>
      <c r="R105" s="114"/>
      <c r="S105" s="128"/>
      <c r="T105" s="128"/>
      <c r="U105" s="128"/>
      <c r="V105" s="132"/>
      <c r="W105" s="133"/>
      <c r="X105" s="133"/>
      <c r="Y105" s="133"/>
      <c r="Z105" s="133"/>
      <c r="AA105" s="133"/>
      <c r="AB105" s="133"/>
      <c r="AC105" s="133"/>
      <c r="AD105" s="133"/>
      <c r="AE105" s="133"/>
      <c r="AF105" s="133"/>
      <c r="AG105" s="133"/>
      <c r="AH105" s="133"/>
      <c r="AI105" s="133"/>
      <c r="AJ105" s="133"/>
      <c r="AK105" s="133"/>
      <c r="AL105" s="133"/>
      <c r="AM105" s="134"/>
      <c r="AN105" s="114"/>
      <c r="AO105" s="114"/>
      <c r="AP105" s="114"/>
      <c r="AQ105" s="114"/>
      <c r="AR105" s="114"/>
      <c r="AS105" s="114"/>
      <c r="AT105" s="114"/>
      <c r="AU105" s="62"/>
      <c r="AV105" s="63"/>
      <c r="AW105" s="64"/>
      <c r="AX105" s="62"/>
      <c r="AY105" s="62"/>
      <c r="AZ105" s="62"/>
      <c r="BA105" s="62"/>
      <c r="BB105" s="62"/>
      <c r="BC105" s="62"/>
      <c r="BD105" s="62"/>
      <c r="BE105" s="62"/>
      <c r="BF105" s="63"/>
      <c r="BG105" s="71"/>
      <c r="BH105" s="72"/>
      <c r="BI105" s="72"/>
      <c r="BJ105" s="72"/>
      <c r="BK105" s="72"/>
      <c r="BL105" s="73"/>
      <c r="BM105" s="52"/>
      <c r="BO105" s="74"/>
      <c r="BP105" s="75"/>
      <c r="BQ105" s="54"/>
      <c r="BR105" s="74"/>
      <c r="BS105" s="75"/>
      <c r="BT105" s="75"/>
      <c r="BU105" s="75"/>
      <c r="BV105" s="75"/>
      <c r="BW105" s="54"/>
      <c r="BX105" s="38"/>
      <c r="BY105" s="55"/>
      <c r="BZ105" s="55"/>
    </row>
    <row r="106" spans="1:78" s="3" customFormat="1" ht="18.649999999999999" customHeight="1" x14ac:dyDescent="0.2">
      <c r="A106" s="137">
        <f t="shared" ref="A106" si="143">A109+1</f>
        <v>22</v>
      </c>
      <c r="B106" s="138"/>
      <c r="C106" s="179">
        <v>40026</v>
      </c>
      <c r="D106" s="180"/>
      <c r="E106" s="180"/>
      <c r="F106" s="180"/>
      <c r="G106" s="165" t="s">
        <v>203</v>
      </c>
      <c r="H106" s="114"/>
      <c r="I106" s="114"/>
      <c r="J106" s="168" t="s">
        <v>204</v>
      </c>
      <c r="K106" s="169"/>
      <c r="L106" s="169"/>
      <c r="M106" s="169"/>
      <c r="N106" s="169"/>
      <c r="O106" s="170"/>
      <c r="P106" s="114">
        <v>50</v>
      </c>
      <c r="Q106" s="114"/>
      <c r="R106" s="114"/>
      <c r="S106" s="128" t="s">
        <v>155</v>
      </c>
      <c r="T106" s="128"/>
      <c r="U106" s="128"/>
      <c r="V106" s="184" t="s">
        <v>205</v>
      </c>
      <c r="W106" s="185"/>
      <c r="X106" s="185"/>
      <c r="Y106" s="185"/>
      <c r="Z106" s="185"/>
      <c r="AA106" s="185"/>
      <c r="AB106" s="185"/>
      <c r="AC106" s="185"/>
      <c r="AD106" s="185"/>
      <c r="AE106" s="185"/>
      <c r="AF106" s="185"/>
      <c r="AG106" s="185"/>
      <c r="AH106" s="185"/>
      <c r="AI106" s="185"/>
      <c r="AJ106" s="185"/>
      <c r="AK106" s="185"/>
      <c r="AL106" s="185"/>
      <c r="AM106" s="186"/>
      <c r="AN106" s="165" t="s">
        <v>206</v>
      </c>
      <c r="AO106" s="114"/>
      <c r="AP106" s="114"/>
      <c r="AQ106" s="114"/>
      <c r="AR106" s="114"/>
      <c r="AS106" s="114"/>
      <c r="AT106" s="114"/>
      <c r="AU106" s="62" t="s">
        <v>41</v>
      </c>
      <c r="AV106" s="63"/>
      <c r="AW106" s="64"/>
      <c r="AX106" s="62" t="s">
        <v>40</v>
      </c>
      <c r="AY106" s="62" t="s">
        <v>40</v>
      </c>
      <c r="AZ106" s="62" t="s">
        <v>40</v>
      </c>
      <c r="BA106" s="62" t="s">
        <v>40</v>
      </c>
      <c r="BB106" s="62"/>
      <c r="BC106" s="62"/>
      <c r="BD106" s="62"/>
      <c r="BE106" s="62"/>
      <c r="BF106" s="63"/>
      <c r="BG106" s="65"/>
      <c r="BH106" s="66"/>
      <c r="BI106" s="66"/>
      <c r="BJ106" s="66"/>
      <c r="BK106" s="66"/>
      <c r="BL106" s="67"/>
      <c r="BM106" s="52"/>
      <c r="BO106" s="74" t="e">
        <f>IF(#REF!="●",SUM(DATEDIF($C106,$C107,"M"),1),"")</f>
        <v>#REF!</v>
      </c>
      <c r="BP106" s="75">
        <f>IF(AU106="●",SUM(DATEDIF($C106,$C107,"M"),1),"")</f>
        <v>6</v>
      </c>
      <c r="BQ106" s="54" t="str">
        <f>IF(AV106="●",SUM(DATEDIF($C106,$C107,"M"),1),"")</f>
        <v/>
      </c>
      <c r="BR106" s="74" t="str">
        <f t="shared" ref="BR106" si="144">IF(BR$38=$S106,SUM(DATEDIF($C106,$C107,"M"),1),"")</f>
        <v/>
      </c>
      <c r="BS106" s="75" t="str">
        <f t="shared" ref="BS106" si="145">IF(BS$38=$S106,SUM(DATEDIF($C106,$C107,"M"),1),"")</f>
        <v/>
      </c>
      <c r="BT106" s="75">
        <f t="shared" ref="BT106" si="146">IF(BT$38=$S106,SUM(DATEDIF($C106,$C107,"M"),1),"")</f>
        <v>6</v>
      </c>
      <c r="BU106" s="75" t="str">
        <f t="shared" ref="BU106" si="147">IF(BU$38=$S106,SUM(DATEDIF($C106,$C107,"M"),1),"")</f>
        <v/>
      </c>
      <c r="BV106" s="75" t="str">
        <f t="shared" ref="BV106" si="148">IF(BV$38=$S106,SUM(DATEDIF($C106,$C107,"M"),1),"")</f>
        <v/>
      </c>
      <c r="BW106" s="54" t="str">
        <f t="shared" ref="BW106" si="149">IF(BW$38=$S106,SUM(DATEDIF($C106,$C107,"M"),1),"")</f>
        <v/>
      </c>
      <c r="BX106" s="38"/>
      <c r="BY106" s="55">
        <f t="shared" ref="BY106" si="150">SUM(BR106:BW108)</f>
        <v>6</v>
      </c>
      <c r="BZ106" s="55" t="str">
        <f>C108</f>
        <v>&lt;6ヶ月&gt;</v>
      </c>
    </row>
    <row r="107" spans="1:78" s="3" customFormat="1" ht="18.649999999999999" customHeight="1" x14ac:dyDescent="0.2">
      <c r="A107" s="137"/>
      <c r="B107" s="138"/>
      <c r="C107" s="56">
        <v>40209</v>
      </c>
      <c r="D107" s="57"/>
      <c r="E107" s="57"/>
      <c r="F107" s="58"/>
      <c r="G107" s="114"/>
      <c r="H107" s="114"/>
      <c r="I107" s="114"/>
      <c r="J107" s="115"/>
      <c r="K107" s="116"/>
      <c r="L107" s="116"/>
      <c r="M107" s="116"/>
      <c r="N107" s="116"/>
      <c r="O107" s="117"/>
      <c r="P107" s="114"/>
      <c r="Q107" s="114"/>
      <c r="R107" s="114"/>
      <c r="S107" s="128"/>
      <c r="T107" s="128"/>
      <c r="U107" s="128"/>
      <c r="V107" s="129"/>
      <c r="W107" s="130"/>
      <c r="X107" s="130"/>
      <c r="Y107" s="130"/>
      <c r="Z107" s="130"/>
      <c r="AA107" s="130"/>
      <c r="AB107" s="130"/>
      <c r="AC107" s="130"/>
      <c r="AD107" s="130"/>
      <c r="AE107" s="130"/>
      <c r="AF107" s="130"/>
      <c r="AG107" s="130"/>
      <c r="AH107" s="130"/>
      <c r="AI107" s="130"/>
      <c r="AJ107" s="130"/>
      <c r="AK107" s="130"/>
      <c r="AL107" s="130"/>
      <c r="AM107" s="131"/>
      <c r="AN107" s="114"/>
      <c r="AO107" s="114"/>
      <c r="AP107" s="114"/>
      <c r="AQ107" s="114"/>
      <c r="AR107" s="114"/>
      <c r="AS107" s="114"/>
      <c r="AT107" s="114"/>
      <c r="AU107" s="62"/>
      <c r="AV107" s="63"/>
      <c r="AW107" s="64"/>
      <c r="AX107" s="62"/>
      <c r="AY107" s="62"/>
      <c r="AZ107" s="62"/>
      <c r="BA107" s="62"/>
      <c r="BB107" s="62"/>
      <c r="BC107" s="62"/>
      <c r="BD107" s="62"/>
      <c r="BE107" s="62"/>
      <c r="BF107" s="63"/>
      <c r="BG107" s="68"/>
      <c r="BH107" s="69"/>
      <c r="BI107" s="69"/>
      <c r="BJ107" s="69"/>
      <c r="BK107" s="69"/>
      <c r="BL107" s="70"/>
      <c r="BM107" s="52"/>
      <c r="BO107" s="74"/>
      <c r="BP107" s="75"/>
      <c r="BQ107" s="54"/>
      <c r="BR107" s="74"/>
      <c r="BS107" s="75"/>
      <c r="BT107" s="75"/>
      <c r="BU107" s="75"/>
      <c r="BV107" s="75"/>
      <c r="BW107" s="54"/>
      <c r="BX107" s="38"/>
      <c r="BY107" s="55"/>
      <c r="BZ107" s="55"/>
    </row>
    <row r="108" spans="1:78" s="3" customFormat="1" ht="84" customHeight="1" x14ac:dyDescent="0.2">
      <c r="A108" s="137"/>
      <c r="B108" s="138"/>
      <c r="C108" s="59" t="str">
        <f>CONCATENATE("&lt;",SUM(DATEDIF(C106,C107,"M"),1),"ヶ月&gt;")</f>
        <v>&lt;6ヶ月&gt;</v>
      </c>
      <c r="D108" s="60"/>
      <c r="E108" s="60"/>
      <c r="F108" s="61"/>
      <c r="G108" s="114"/>
      <c r="H108" s="114"/>
      <c r="I108" s="114"/>
      <c r="J108" s="118"/>
      <c r="K108" s="119"/>
      <c r="L108" s="119"/>
      <c r="M108" s="119"/>
      <c r="N108" s="119"/>
      <c r="O108" s="120"/>
      <c r="P108" s="114"/>
      <c r="Q108" s="114"/>
      <c r="R108" s="114"/>
      <c r="S108" s="128"/>
      <c r="T108" s="128"/>
      <c r="U108" s="128"/>
      <c r="V108" s="132"/>
      <c r="W108" s="133"/>
      <c r="X108" s="133"/>
      <c r="Y108" s="133"/>
      <c r="Z108" s="133"/>
      <c r="AA108" s="133"/>
      <c r="AB108" s="133"/>
      <c r="AC108" s="133"/>
      <c r="AD108" s="133"/>
      <c r="AE108" s="133"/>
      <c r="AF108" s="133"/>
      <c r="AG108" s="133"/>
      <c r="AH108" s="133"/>
      <c r="AI108" s="133"/>
      <c r="AJ108" s="133"/>
      <c r="AK108" s="133"/>
      <c r="AL108" s="133"/>
      <c r="AM108" s="134"/>
      <c r="AN108" s="114"/>
      <c r="AO108" s="114"/>
      <c r="AP108" s="114"/>
      <c r="AQ108" s="114"/>
      <c r="AR108" s="114"/>
      <c r="AS108" s="114"/>
      <c r="AT108" s="114"/>
      <c r="AU108" s="62"/>
      <c r="AV108" s="63"/>
      <c r="AW108" s="64"/>
      <c r="AX108" s="62"/>
      <c r="AY108" s="62"/>
      <c r="AZ108" s="62"/>
      <c r="BA108" s="62"/>
      <c r="BB108" s="62"/>
      <c r="BC108" s="62"/>
      <c r="BD108" s="62"/>
      <c r="BE108" s="62"/>
      <c r="BF108" s="63"/>
      <c r="BG108" s="71"/>
      <c r="BH108" s="72"/>
      <c r="BI108" s="72"/>
      <c r="BJ108" s="72"/>
      <c r="BK108" s="72"/>
      <c r="BL108" s="73"/>
      <c r="BM108" s="52"/>
      <c r="BO108" s="74"/>
      <c r="BP108" s="75"/>
      <c r="BQ108" s="54"/>
      <c r="BR108" s="74"/>
      <c r="BS108" s="75"/>
      <c r="BT108" s="75"/>
      <c r="BU108" s="75"/>
      <c r="BV108" s="75"/>
      <c r="BW108" s="54"/>
      <c r="BX108" s="38"/>
      <c r="BY108" s="55"/>
      <c r="BZ108" s="55"/>
    </row>
    <row r="109" spans="1:78" s="3" customFormat="1" ht="18.649999999999999" customHeight="1" x14ac:dyDescent="0.2">
      <c r="A109" s="137">
        <f t="shared" ref="A109" si="151">A112+1</f>
        <v>21</v>
      </c>
      <c r="B109" s="138"/>
      <c r="C109" s="179">
        <v>39508</v>
      </c>
      <c r="D109" s="180"/>
      <c r="E109" s="180"/>
      <c r="F109" s="180"/>
      <c r="G109" s="165" t="s">
        <v>207</v>
      </c>
      <c r="H109" s="114"/>
      <c r="I109" s="114"/>
      <c r="J109" s="168" t="s">
        <v>208</v>
      </c>
      <c r="K109" s="169"/>
      <c r="L109" s="169"/>
      <c r="M109" s="169"/>
      <c r="N109" s="169"/>
      <c r="O109" s="170"/>
      <c r="P109" s="114">
        <v>200</v>
      </c>
      <c r="Q109" s="114"/>
      <c r="R109" s="114"/>
      <c r="S109" s="128" t="s">
        <v>28</v>
      </c>
      <c r="T109" s="128"/>
      <c r="U109" s="128"/>
      <c r="V109" s="184" t="s">
        <v>209</v>
      </c>
      <c r="W109" s="185"/>
      <c r="X109" s="185"/>
      <c r="Y109" s="185"/>
      <c r="Z109" s="185"/>
      <c r="AA109" s="185"/>
      <c r="AB109" s="185"/>
      <c r="AC109" s="185"/>
      <c r="AD109" s="185"/>
      <c r="AE109" s="185"/>
      <c r="AF109" s="185"/>
      <c r="AG109" s="185"/>
      <c r="AH109" s="185"/>
      <c r="AI109" s="185"/>
      <c r="AJ109" s="185"/>
      <c r="AK109" s="185"/>
      <c r="AL109" s="185"/>
      <c r="AM109" s="186"/>
      <c r="AN109" s="165" t="s">
        <v>210</v>
      </c>
      <c r="AO109" s="114"/>
      <c r="AP109" s="114"/>
      <c r="AQ109" s="114"/>
      <c r="AR109" s="114"/>
      <c r="AS109" s="114"/>
      <c r="AT109" s="114"/>
      <c r="AU109" s="62"/>
      <c r="AV109" s="63" t="s">
        <v>41</v>
      </c>
      <c r="AW109" s="64"/>
      <c r="AX109" s="62"/>
      <c r="AY109" s="62"/>
      <c r="AZ109" s="62"/>
      <c r="BA109" s="62"/>
      <c r="BB109" s="62"/>
      <c r="BC109" s="62" t="s">
        <v>41</v>
      </c>
      <c r="BD109" s="62"/>
      <c r="BE109" s="62"/>
      <c r="BF109" s="63"/>
      <c r="BG109" s="65"/>
      <c r="BH109" s="66"/>
      <c r="BI109" s="66"/>
      <c r="BJ109" s="66"/>
      <c r="BK109" s="66"/>
      <c r="BL109" s="67"/>
      <c r="BM109" s="52"/>
      <c r="BO109" s="74" t="e">
        <f>IF(#REF!="●",SUM(DATEDIF($C109,$C110,"M"),1),"")</f>
        <v>#REF!</v>
      </c>
      <c r="BP109" s="75" t="str">
        <f>IF(AU109="●",SUM(DATEDIF($C109,$C110,"M"),1),"")</f>
        <v/>
      </c>
      <c r="BQ109" s="54">
        <f>IF(AV109="●",SUM(DATEDIF($C109,$C110,"M"),1),"")</f>
        <v>14</v>
      </c>
      <c r="BR109" s="74" t="str">
        <f t="shared" ref="BR109" si="152">IF(BR$38=$S109,SUM(DATEDIF($C109,$C110,"M"),1),"")</f>
        <v/>
      </c>
      <c r="BS109" s="75" t="str">
        <f t="shared" ref="BS109" si="153">IF(BS$38=$S109,SUM(DATEDIF($C109,$C110,"M"),1),"")</f>
        <v/>
      </c>
      <c r="BT109" s="75" t="str">
        <f t="shared" ref="BT109" si="154">IF(BT$38=$S109,SUM(DATEDIF($C109,$C110,"M"),1),"")</f>
        <v/>
      </c>
      <c r="BU109" s="75">
        <f t="shared" ref="BU109" si="155">IF(BU$38=$S109,SUM(DATEDIF($C109,$C110,"M"),1),"")</f>
        <v>14</v>
      </c>
      <c r="BV109" s="75" t="str">
        <f t="shared" ref="BV109" si="156">IF(BV$38=$S109,SUM(DATEDIF($C109,$C110,"M"),1),"")</f>
        <v/>
      </c>
      <c r="BW109" s="54" t="str">
        <f t="shared" ref="BW109" si="157">IF(BW$38=$S109,SUM(DATEDIF($C109,$C110,"M"),1),"")</f>
        <v/>
      </c>
      <c r="BX109" s="38"/>
      <c r="BY109" s="55">
        <f t="shared" ref="BY109" si="158">SUM(BR109:BW111)</f>
        <v>14</v>
      </c>
      <c r="BZ109" s="55" t="str">
        <f>C111</f>
        <v>&lt;14ヶ月&gt;</v>
      </c>
    </row>
    <row r="110" spans="1:78" s="3" customFormat="1" ht="18.649999999999999" customHeight="1" x14ac:dyDescent="0.2">
      <c r="A110" s="137"/>
      <c r="B110" s="138"/>
      <c r="C110" s="56">
        <v>39933</v>
      </c>
      <c r="D110" s="57"/>
      <c r="E110" s="57"/>
      <c r="F110" s="58"/>
      <c r="G110" s="114"/>
      <c r="H110" s="114"/>
      <c r="I110" s="114"/>
      <c r="J110" s="115"/>
      <c r="K110" s="116"/>
      <c r="L110" s="116"/>
      <c r="M110" s="116"/>
      <c r="N110" s="116"/>
      <c r="O110" s="117"/>
      <c r="P110" s="114"/>
      <c r="Q110" s="114"/>
      <c r="R110" s="114"/>
      <c r="S110" s="128"/>
      <c r="T110" s="128"/>
      <c r="U110" s="128"/>
      <c r="V110" s="129"/>
      <c r="W110" s="130"/>
      <c r="X110" s="130"/>
      <c r="Y110" s="130"/>
      <c r="Z110" s="130"/>
      <c r="AA110" s="130"/>
      <c r="AB110" s="130"/>
      <c r="AC110" s="130"/>
      <c r="AD110" s="130"/>
      <c r="AE110" s="130"/>
      <c r="AF110" s="130"/>
      <c r="AG110" s="130"/>
      <c r="AH110" s="130"/>
      <c r="AI110" s="130"/>
      <c r="AJ110" s="130"/>
      <c r="AK110" s="130"/>
      <c r="AL110" s="130"/>
      <c r="AM110" s="131"/>
      <c r="AN110" s="114"/>
      <c r="AO110" s="114"/>
      <c r="AP110" s="114"/>
      <c r="AQ110" s="114"/>
      <c r="AR110" s="114"/>
      <c r="AS110" s="114"/>
      <c r="AT110" s="114"/>
      <c r="AU110" s="62"/>
      <c r="AV110" s="63"/>
      <c r="AW110" s="64"/>
      <c r="AX110" s="62"/>
      <c r="AY110" s="62"/>
      <c r="AZ110" s="62"/>
      <c r="BA110" s="62"/>
      <c r="BB110" s="62"/>
      <c r="BC110" s="62"/>
      <c r="BD110" s="62"/>
      <c r="BE110" s="62"/>
      <c r="BF110" s="63"/>
      <c r="BG110" s="68"/>
      <c r="BH110" s="69"/>
      <c r="BI110" s="69"/>
      <c r="BJ110" s="69"/>
      <c r="BK110" s="69"/>
      <c r="BL110" s="70"/>
      <c r="BM110" s="52"/>
      <c r="BO110" s="74"/>
      <c r="BP110" s="75"/>
      <c r="BQ110" s="54"/>
      <c r="BR110" s="74"/>
      <c r="BS110" s="75"/>
      <c r="BT110" s="75"/>
      <c r="BU110" s="75"/>
      <c r="BV110" s="75"/>
      <c r="BW110" s="54"/>
      <c r="BX110" s="38"/>
      <c r="BY110" s="55"/>
      <c r="BZ110" s="55"/>
    </row>
    <row r="111" spans="1:78" s="3" customFormat="1" ht="203.25" customHeight="1" x14ac:dyDescent="0.2">
      <c r="A111" s="137"/>
      <c r="B111" s="138"/>
      <c r="C111" s="59" t="str">
        <f>CONCATENATE("&lt;",SUM(DATEDIF(C109,C110,"M"),1),"ヶ月&gt;")</f>
        <v>&lt;14ヶ月&gt;</v>
      </c>
      <c r="D111" s="60"/>
      <c r="E111" s="60"/>
      <c r="F111" s="61"/>
      <c r="G111" s="114"/>
      <c r="H111" s="114"/>
      <c r="I111" s="114"/>
      <c r="J111" s="118"/>
      <c r="K111" s="119"/>
      <c r="L111" s="119"/>
      <c r="M111" s="119"/>
      <c r="N111" s="119"/>
      <c r="O111" s="120"/>
      <c r="P111" s="114"/>
      <c r="Q111" s="114"/>
      <c r="R111" s="114"/>
      <c r="S111" s="128"/>
      <c r="T111" s="128"/>
      <c r="U111" s="128"/>
      <c r="V111" s="132"/>
      <c r="W111" s="133"/>
      <c r="X111" s="133"/>
      <c r="Y111" s="133"/>
      <c r="Z111" s="133"/>
      <c r="AA111" s="133"/>
      <c r="AB111" s="133"/>
      <c r="AC111" s="133"/>
      <c r="AD111" s="133"/>
      <c r="AE111" s="133"/>
      <c r="AF111" s="133"/>
      <c r="AG111" s="133"/>
      <c r="AH111" s="133"/>
      <c r="AI111" s="133"/>
      <c r="AJ111" s="133"/>
      <c r="AK111" s="133"/>
      <c r="AL111" s="133"/>
      <c r="AM111" s="134"/>
      <c r="AN111" s="114"/>
      <c r="AO111" s="114"/>
      <c r="AP111" s="114"/>
      <c r="AQ111" s="114"/>
      <c r="AR111" s="114"/>
      <c r="AS111" s="114"/>
      <c r="AT111" s="114"/>
      <c r="AU111" s="62"/>
      <c r="AV111" s="63"/>
      <c r="AW111" s="64"/>
      <c r="AX111" s="62"/>
      <c r="AY111" s="62"/>
      <c r="AZ111" s="62"/>
      <c r="BA111" s="62"/>
      <c r="BB111" s="62"/>
      <c r="BC111" s="62"/>
      <c r="BD111" s="62"/>
      <c r="BE111" s="62"/>
      <c r="BF111" s="63"/>
      <c r="BG111" s="71"/>
      <c r="BH111" s="72"/>
      <c r="BI111" s="72"/>
      <c r="BJ111" s="72"/>
      <c r="BK111" s="72"/>
      <c r="BL111" s="73"/>
      <c r="BM111" s="52"/>
      <c r="BO111" s="74"/>
      <c r="BP111" s="75"/>
      <c r="BQ111" s="54"/>
      <c r="BR111" s="74"/>
      <c r="BS111" s="75"/>
      <c r="BT111" s="75"/>
      <c r="BU111" s="75"/>
      <c r="BV111" s="75"/>
      <c r="BW111" s="54"/>
      <c r="BX111" s="38"/>
      <c r="BY111" s="55"/>
      <c r="BZ111" s="55"/>
    </row>
    <row r="112" spans="1:78" s="3" customFormat="1" ht="18.649999999999999" customHeight="1" x14ac:dyDescent="0.2">
      <c r="A112" s="137">
        <f t="shared" ref="A112" si="159">A115+1</f>
        <v>20</v>
      </c>
      <c r="B112" s="138"/>
      <c r="C112" s="179">
        <v>38718</v>
      </c>
      <c r="D112" s="180"/>
      <c r="E112" s="180"/>
      <c r="F112" s="180"/>
      <c r="G112" s="165" t="s">
        <v>291</v>
      </c>
      <c r="H112" s="114"/>
      <c r="I112" s="114"/>
      <c r="J112" s="168" t="s">
        <v>211</v>
      </c>
      <c r="K112" s="169"/>
      <c r="L112" s="169"/>
      <c r="M112" s="169"/>
      <c r="N112" s="169"/>
      <c r="O112" s="170"/>
      <c r="P112" s="114">
        <v>30</v>
      </c>
      <c r="Q112" s="114"/>
      <c r="R112" s="114"/>
      <c r="S112" s="128" t="s">
        <v>29</v>
      </c>
      <c r="T112" s="128"/>
      <c r="U112" s="128"/>
      <c r="V112" s="184" t="s">
        <v>212</v>
      </c>
      <c r="W112" s="185"/>
      <c r="X112" s="185"/>
      <c r="Y112" s="185"/>
      <c r="Z112" s="185"/>
      <c r="AA112" s="185"/>
      <c r="AB112" s="185"/>
      <c r="AC112" s="185"/>
      <c r="AD112" s="185"/>
      <c r="AE112" s="185"/>
      <c r="AF112" s="185"/>
      <c r="AG112" s="185"/>
      <c r="AH112" s="185"/>
      <c r="AI112" s="185"/>
      <c r="AJ112" s="185"/>
      <c r="AK112" s="185"/>
      <c r="AL112" s="185"/>
      <c r="AM112" s="186"/>
      <c r="AN112" s="165" t="s">
        <v>213</v>
      </c>
      <c r="AO112" s="114"/>
      <c r="AP112" s="114"/>
      <c r="AQ112" s="114"/>
      <c r="AR112" s="114"/>
      <c r="AS112" s="114"/>
      <c r="AT112" s="114"/>
      <c r="AU112" s="62" t="s">
        <v>41</v>
      </c>
      <c r="AV112" s="63"/>
      <c r="AW112" s="64"/>
      <c r="AX112" s="62" t="s">
        <v>40</v>
      </c>
      <c r="AY112" s="62" t="s">
        <v>40</v>
      </c>
      <c r="AZ112" s="62" t="s">
        <v>40</v>
      </c>
      <c r="BA112" s="62" t="s">
        <v>40</v>
      </c>
      <c r="BB112" s="62" t="s">
        <v>40</v>
      </c>
      <c r="BC112" s="62" t="s">
        <v>40</v>
      </c>
      <c r="BD112" s="62" t="s">
        <v>40</v>
      </c>
      <c r="BE112" s="62"/>
      <c r="BF112" s="63" t="s">
        <v>41</v>
      </c>
      <c r="BG112" s="65"/>
      <c r="BH112" s="66"/>
      <c r="BI112" s="66"/>
      <c r="BJ112" s="66"/>
      <c r="BK112" s="66"/>
      <c r="BL112" s="67"/>
      <c r="BM112" s="52"/>
      <c r="BO112" s="74" t="e">
        <f>IF(#REF!="●",SUM(DATEDIF($C112,$C113,"M"),1),"")</f>
        <v>#REF!</v>
      </c>
      <c r="BP112" s="75">
        <f>IF(AU112="●",SUM(DATEDIF($C112,$C113,"M"),1),"")</f>
        <v>25</v>
      </c>
      <c r="BQ112" s="54" t="str">
        <f>IF(AV112="●",SUM(DATEDIF($C112,$C113,"M"),1),"")</f>
        <v/>
      </c>
      <c r="BR112" s="74" t="str">
        <f t="shared" ref="BR112" si="160">IF(BR$38=$S112,SUM(DATEDIF($C112,$C113,"M"),1),"")</f>
        <v/>
      </c>
      <c r="BS112" s="75" t="str">
        <f t="shared" ref="BS112" si="161">IF(BS$38=$S112,SUM(DATEDIF($C112,$C113,"M"),1),"")</f>
        <v/>
      </c>
      <c r="BT112" s="75" t="str">
        <f t="shared" ref="BT112" si="162">IF(BT$38=$S112,SUM(DATEDIF($C112,$C113,"M"),1),"")</f>
        <v/>
      </c>
      <c r="BU112" s="75" t="str">
        <f t="shared" ref="BU112" si="163">IF(BU$38=$S112,SUM(DATEDIF($C112,$C113,"M"),1),"")</f>
        <v/>
      </c>
      <c r="BV112" s="75">
        <f t="shared" ref="BV112" si="164">IF(BV$38=$S112,SUM(DATEDIF($C112,$C113,"M"),1),"")</f>
        <v>25</v>
      </c>
      <c r="BW112" s="54" t="str">
        <f t="shared" ref="BW112" si="165">IF(BW$38=$S112,SUM(DATEDIF($C112,$C113,"M"),1),"")</f>
        <v/>
      </c>
      <c r="BX112" s="38"/>
      <c r="BY112" s="55">
        <f t="shared" ref="BY112" si="166">SUM(BR112:BW114)</f>
        <v>25</v>
      </c>
      <c r="BZ112" s="55" t="str">
        <f>C114</f>
        <v>&lt;25ヶ月&gt;</v>
      </c>
    </row>
    <row r="113" spans="1:78" s="3" customFormat="1" ht="18.649999999999999" customHeight="1" x14ac:dyDescent="0.2">
      <c r="A113" s="137"/>
      <c r="B113" s="138"/>
      <c r="C113" s="56">
        <v>39478</v>
      </c>
      <c r="D113" s="57"/>
      <c r="E113" s="57"/>
      <c r="F113" s="58"/>
      <c r="G113" s="114"/>
      <c r="H113" s="114"/>
      <c r="I113" s="114"/>
      <c r="J113" s="115"/>
      <c r="K113" s="116"/>
      <c r="L113" s="116"/>
      <c r="M113" s="116"/>
      <c r="N113" s="116"/>
      <c r="O113" s="117"/>
      <c r="P113" s="114"/>
      <c r="Q113" s="114"/>
      <c r="R113" s="114"/>
      <c r="S113" s="128"/>
      <c r="T113" s="128"/>
      <c r="U113" s="128"/>
      <c r="V113" s="129"/>
      <c r="W113" s="130"/>
      <c r="X113" s="130"/>
      <c r="Y113" s="130"/>
      <c r="Z113" s="130"/>
      <c r="AA113" s="130"/>
      <c r="AB113" s="130"/>
      <c r="AC113" s="130"/>
      <c r="AD113" s="130"/>
      <c r="AE113" s="130"/>
      <c r="AF113" s="130"/>
      <c r="AG113" s="130"/>
      <c r="AH113" s="130"/>
      <c r="AI113" s="130"/>
      <c r="AJ113" s="130"/>
      <c r="AK113" s="130"/>
      <c r="AL113" s="130"/>
      <c r="AM113" s="131"/>
      <c r="AN113" s="114"/>
      <c r="AO113" s="114"/>
      <c r="AP113" s="114"/>
      <c r="AQ113" s="114"/>
      <c r="AR113" s="114"/>
      <c r="AS113" s="114"/>
      <c r="AT113" s="114"/>
      <c r="AU113" s="62"/>
      <c r="AV113" s="63"/>
      <c r="AW113" s="64"/>
      <c r="AX113" s="62"/>
      <c r="AY113" s="62"/>
      <c r="AZ113" s="62"/>
      <c r="BA113" s="62"/>
      <c r="BB113" s="62"/>
      <c r="BC113" s="62"/>
      <c r="BD113" s="62"/>
      <c r="BE113" s="62"/>
      <c r="BF113" s="63"/>
      <c r="BG113" s="68"/>
      <c r="BH113" s="69"/>
      <c r="BI113" s="69"/>
      <c r="BJ113" s="69"/>
      <c r="BK113" s="69"/>
      <c r="BL113" s="70"/>
      <c r="BM113" s="52"/>
      <c r="BO113" s="74"/>
      <c r="BP113" s="75"/>
      <c r="BQ113" s="54"/>
      <c r="BR113" s="74"/>
      <c r="BS113" s="75"/>
      <c r="BT113" s="75"/>
      <c r="BU113" s="75"/>
      <c r="BV113" s="75"/>
      <c r="BW113" s="54"/>
      <c r="BX113" s="38"/>
      <c r="BY113" s="55"/>
      <c r="BZ113" s="55"/>
    </row>
    <row r="114" spans="1:78" s="3" customFormat="1" ht="201.75" customHeight="1" x14ac:dyDescent="0.2">
      <c r="A114" s="137"/>
      <c r="B114" s="138"/>
      <c r="C114" s="59" t="str">
        <f>CONCATENATE("&lt;",SUM(DATEDIF(C112,C113,"M"),1),"ヶ月&gt;")</f>
        <v>&lt;25ヶ月&gt;</v>
      </c>
      <c r="D114" s="60"/>
      <c r="E114" s="60"/>
      <c r="F114" s="61"/>
      <c r="G114" s="114"/>
      <c r="H114" s="114"/>
      <c r="I114" s="114"/>
      <c r="J114" s="118"/>
      <c r="K114" s="119"/>
      <c r="L114" s="119"/>
      <c r="M114" s="119"/>
      <c r="N114" s="119"/>
      <c r="O114" s="120"/>
      <c r="P114" s="114"/>
      <c r="Q114" s="114"/>
      <c r="R114" s="114"/>
      <c r="S114" s="128"/>
      <c r="T114" s="128"/>
      <c r="U114" s="128"/>
      <c r="V114" s="132"/>
      <c r="W114" s="133"/>
      <c r="X114" s="133"/>
      <c r="Y114" s="133"/>
      <c r="Z114" s="133"/>
      <c r="AA114" s="133"/>
      <c r="AB114" s="133"/>
      <c r="AC114" s="133"/>
      <c r="AD114" s="133"/>
      <c r="AE114" s="133"/>
      <c r="AF114" s="133"/>
      <c r="AG114" s="133"/>
      <c r="AH114" s="133"/>
      <c r="AI114" s="133"/>
      <c r="AJ114" s="133"/>
      <c r="AK114" s="133"/>
      <c r="AL114" s="133"/>
      <c r="AM114" s="134"/>
      <c r="AN114" s="114"/>
      <c r="AO114" s="114"/>
      <c r="AP114" s="114"/>
      <c r="AQ114" s="114"/>
      <c r="AR114" s="114"/>
      <c r="AS114" s="114"/>
      <c r="AT114" s="114"/>
      <c r="AU114" s="62"/>
      <c r="AV114" s="63"/>
      <c r="AW114" s="64"/>
      <c r="AX114" s="62"/>
      <c r="AY114" s="62"/>
      <c r="AZ114" s="62"/>
      <c r="BA114" s="62"/>
      <c r="BB114" s="62"/>
      <c r="BC114" s="62"/>
      <c r="BD114" s="62"/>
      <c r="BE114" s="62"/>
      <c r="BF114" s="63"/>
      <c r="BG114" s="71"/>
      <c r="BH114" s="72"/>
      <c r="BI114" s="72"/>
      <c r="BJ114" s="72"/>
      <c r="BK114" s="72"/>
      <c r="BL114" s="73"/>
      <c r="BM114" s="52"/>
      <c r="BO114" s="74"/>
      <c r="BP114" s="75"/>
      <c r="BQ114" s="54"/>
      <c r="BR114" s="74"/>
      <c r="BS114" s="75"/>
      <c r="BT114" s="75"/>
      <c r="BU114" s="75"/>
      <c r="BV114" s="75"/>
      <c r="BW114" s="54"/>
      <c r="BX114" s="38"/>
      <c r="BY114" s="55"/>
      <c r="BZ114" s="55"/>
    </row>
    <row r="115" spans="1:78" s="3" customFormat="1" ht="18.649999999999999" customHeight="1" x14ac:dyDescent="0.2">
      <c r="A115" s="137">
        <f t="shared" ref="A115" si="167">A118+1</f>
        <v>19</v>
      </c>
      <c r="B115" s="138"/>
      <c r="C115" s="179">
        <v>38322</v>
      </c>
      <c r="D115" s="180"/>
      <c r="E115" s="180"/>
      <c r="F115" s="180"/>
      <c r="G115" s="165" t="s">
        <v>214</v>
      </c>
      <c r="H115" s="114"/>
      <c r="I115" s="114"/>
      <c r="J115" s="168" t="s">
        <v>215</v>
      </c>
      <c r="K115" s="169"/>
      <c r="L115" s="169"/>
      <c r="M115" s="169"/>
      <c r="N115" s="169"/>
      <c r="O115" s="170"/>
      <c r="P115" s="114">
        <v>100</v>
      </c>
      <c r="Q115" s="114"/>
      <c r="R115" s="114"/>
      <c r="S115" s="128" t="s">
        <v>28</v>
      </c>
      <c r="T115" s="128"/>
      <c r="U115" s="128"/>
      <c r="V115" s="184" t="s">
        <v>216</v>
      </c>
      <c r="W115" s="185"/>
      <c r="X115" s="185"/>
      <c r="Y115" s="185"/>
      <c r="Z115" s="185"/>
      <c r="AA115" s="185"/>
      <c r="AB115" s="185"/>
      <c r="AC115" s="185"/>
      <c r="AD115" s="185"/>
      <c r="AE115" s="185"/>
      <c r="AF115" s="185"/>
      <c r="AG115" s="185"/>
      <c r="AH115" s="185"/>
      <c r="AI115" s="185"/>
      <c r="AJ115" s="185"/>
      <c r="AK115" s="185"/>
      <c r="AL115" s="185"/>
      <c r="AM115" s="186"/>
      <c r="AN115" s="165" t="s">
        <v>217</v>
      </c>
      <c r="AO115" s="114"/>
      <c r="AP115" s="114"/>
      <c r="AQ115" s="114"/>
      <c r="AR115" s="114"/>
      <c r="AS115" s="114"/>
      <c r="AT115" s="114"/>
      <c r="AU115" s="62" t="s">
        <v>41</v>
      </c>
      <c r="AV115" s="63"/>
      <c r="AW115" s="64"/>
      <c r="AX115" s="62"/>
      <c r="AY115" s="62"/>
      <c r="AZ115" s="62"/>
      <c r="BA115" s="62"/>
      <c r="BB115" s="62" t="s">
        <v>41</v>
      </c>
      <c r="BC115" s="62" t="s">
        <v>41</v>
      </c>
      <c r="BD115" s="62"/>
      <c r="BE115" s="62"/>
      <c r="BF115" s="63"/>
      <c r="BG115" s="65"/>
      <c r="BH115" s="66"/>
      <c r="BI115" s="66"/>
      <c r="BJ115" s="66"/>
      <c r="BK115" s="66"/>
      <c r="BL115" s="67"/>
      <c r="BM115" s="52"/>
      <c r="BO115" s="74" t="e">
        <f>IF(#REF!="●",SUM(DATEDIF($C115,$C116,"M"),1),"")</f>
        <v>#REF!</v>
      </c>
      <c r="BP115" s="75">
        <f>IF(AU115="●",SUM(DATEDIF($C115,$C116,"M"),1),"")</f>
        <v>13</v>
      </c>
      <c r="BQ115" s="54" t="str">
        <f>IF(AV115="●",SUM(DATEDIF($C115,$C116,"M"),1),"")</f>
        <v/>
      </c>
      <c r="BR115" s="74" t="str">
        <f t="shared" ref="BR115" si="168">IF(BR$38=$S115,SUM(DATEDIF($C115,$C116,"M"),1),"")</f>
        <v/>
      </c>
      <c r="BS115" s="75" t="str">
        <f t="shared" ref="BS115" si="169">IF(BS$38=$S115,SUM(DATEDIF($C115,$C116,"M"),1),"")</f>
        <v/>
      </c>
      <c r="BT115" s="75" t="str">
        <f t="shared" ref="BT115" si="170">IF(BT$38=$S115,SUM(DATEDIF($C115,$C116,"M"),1),"")</f>
        <v/>
      </c>
      <c r="BU115" s="75">
        <f t="shared" ref="BU115" si="171">IF(BU$38=$S115,SUM(DATEDIF($C115,$C116,"M"),1),"")</f>
        <v>13</v>
      </c>
      <c r="BV115" s="75" t="str">
        <f t="shared" ref="BV115" si="172">IF(BV$38=$S115,SUM(DATEDIF($C115,$C116,"M"),1),"")</f>
        <v/>
      </c>
      <c r="BW115" s="54" t="str">
        <f t="shared" ref="BW115" si="173">IF(BW$38=$S115,SUM(DATEDIF($C115,$C116,"M"),1),"")</f>
        <v/>
      </c>
      <c r="BX115" s="38"/>
      <c r="BY115" s="55">
        <f t="shared" ref="BY115" si="174">SUM(BR115:BW117)</f>
        <v>13</v>
      </c>
      <c r="BZ115" s="55" t="str">
        <f>C117</f>
        <v>&lt;13ヶ月&gt;</v>
      </c>
    </row>
    <row r="116" spans="1:78" s="3" customFormat="1" ht="18.649999999999999" customHeight="1" x14ac:dyDescent="0.2">
      <c r="A116" s="137"/>
      <c r="B116" s="138"/>
      <c r="C116" s="56">
        <v>38717</v>
      </c>
      <c r="D116" s="57"/>
      <c r="E116" s="57"/>
      <c r="F116" s="58"/>
      <c r="G116" s="114"/>
      <c r="H116" s="114"/>
      <c r="I116" s="114"/>
      <c r="J116" s="115"/>
      <c r="K116" s="116"/>
      <c r="L116" s="116"/>
      <c r="M116" s="116"/>
      <c r="N116" s="116"/>
      <c r="O116" s="117"/>
      <c r="P116" s="114"/>
      <c r="Q116" s="114"/>
      <c r="R116" s="114"/>
      <c r="S116" s="128"/>
      <c r="T116" s="128"/>
      <c r="U116" s="128"/>
      <c r="V116" s="129"/>
      <c r="W116" s="130"/>
      <c r="X116" s="130"/>
      <c r="Y116" s="130"/>
      <c r="Z116" s="130"/>
      <c r="AA116" s="130"/>
      <c r="AB116" s="130"/>
      <c r="AC116" s="130"/>
      <c r="AD116" s="130"/>
      <c r="AE116" s="130"/>
      <c r="AF116" s="130"/>
      <c r="AG116" s="130"/>
      <c r="AH116" s="130"/>
      <c r="AI116" s="130"/>
      <c r="AJ116" s="130"/>
      <c r="AK116" s="130"/>
      <c r="AL116" s="130"/>
      <c r="AM116" s="131"/>
      <c r="AN116" s="114"/>
      <c r="AO116" s="114"/>
      <c r="AP116" s="114"/>
      <c r="AQ116" s="114"/>
      <c r="AR116" s="114"/>
      <c r="AS116" s="114"/>
      <c r="AT116" s="114"/>
      <c r="AU116" s="62"/>
      <c r="AV116" s="63"/>
      <c r="AW116" s="64"/>
      <c r="AX116" s="62"/>
      <c r="AY116" s="62"/>
      <c r="AZ116" s="62"/>
      <c r="BA116" s="62"/>
      <c r="BB116" s="62"/>
      <c r="BC116" s="62"/>
      <c r="BD116" s="62"/>
      <c r="BE116" s="62"/>
      <c r="BF116" s="63"/>
      <c r="BG116" s="68"/>
      <c r="BH116" s="69"/>
      <c r="BI116" s="69"/>
      <c r="BJ116" s="69"/>
      <c r="BK116" s="69"/>
      <c r="BL116" s="70"/>
      <c r="BM116" s="52"/>
      <c r="BO116" s="74"/>
      <c r="BP116" s="75"/>
      <c r="BQ116" s="54"/>
      <c r="BR116" s="74"/>
      <c r="BS116" s="75"/>
      <c r="BT116" s="75"/>
      <c r="BU116" s="75"/>
      <c r="BV116" s="75"/>
      <c r="BW116" s="54"/>
      <c r="BX116" s="38"/>
      <c r="BY116" s="55"/>
      <c r="BZ116" s="55"/>
    </row>
    <row r="117" spans="1:78" s="3" customFormat="1" ht="69" customHeight="1" x14ac:dyDescent="0.2">
      <c r="A117" s="137"/>
      <c r="B117" s="138"/>
      <c r="C117" s="59" t="str">
        <f>CONCATENATE("&lt;",SUM(DATEDIF(C115,C116,"M"),1),"ヶ月&gt;")</f>
        <v>&lt;13ヶ月&gt;</v>
      </c>
      <c r="D117" s="60"/>
      <c r="E117" s="60"/>
      <c r="F117" s="61"/>
      <c r="G117" s="114"/>
      <c r="H117" s="114"/>
      <c r="I117" s="114"/>
      <c r="J117" s="118"/>
      <c r="K117" s="119"/>
      <c r="L117" s="119"/>
      <c r="M117" s="119"/>
      <c r="N117" s="119"/>
      <c r="O117" s="120"/>
      <c r="P117" s="114"/>
      <c r="Q117" s="114"/>
      <c r="R117" s="114"/>
      <c r="S117" s="128"/>
      <c r="T117" s="128"/>
      <c r="U117" s="128"/>
      <c r="V117" s="132"/>
      <c r="W117" s="133"/>
      <c r="X117" s="133"/>
      <c r="Y117" s="133"/>
      <c r="Z117" s="133"/>
      <c r="AA117" s="133"/>
      <c r="AB117" s="133"/>
      <c r="AC117" s="133"/>
      <c r="AD117" s="133"/>
      <c r="AE117" s="133"/>
      <c r="AF117" s="133"/>
      <c r="AG117" s="133"/>
      <c r="AH117" s="133"/>
      <c r="AI117" s="133"/>
      <c r="AJ117" s="133"/>
      <c r="AK117" s="133"/>
      <c r="AL117" s="133"/>
      <c r="AM117" s="134"/>
      <c r="AN117" s="114"/>
      <c r="AO117" s="114"/>
      <c r="AP117" s="114"/>
      <c r="AQ117" s="114"/>
      <c r="AR117" s="114"/>
      <c r="AS117" s="114"/>
      <c r="AT117" s="114"/>
      <c r="AU117" s="62"/>
      <c r="AV117" s="63"/>
      <c r="AW117" s="64"/>
      <c r="AX117" s="62"/>
      <c r="AY117" s="62"/>
      <c r="AZ117" s="62"/>
      <c r="BA117" s="62"/>
      <c r="BB117" s="62"/>
      <c r="BC117" s="62"/>
      <c r="BD117" s="62"/>
      <c r="BE117" s="62"/>
      <c r="BF117" s="63"/>
      <c r="BG117" s="71"/>
      <c r="BH117" s="72"/>
      <c r="BI117" s="72"/>
      <c r="BJ117" s="72"/>
      <c r="BK117" s="72"/>
      <c r="BL117" s="73"/>
      <c r="BM117" s="52"/>
      <c r="BO117" s="74"/>
      <c r="BP117" s="75"/>
      <c r="BQ117" s="54"/>
      <c r="BR117" s="74"/>
      <c r="BS117" s="75"/>
      <c r="BT117" s="75"/>
      <c r="BU117" s="75"/>
      <c r="BV117" s="75"/>
      <c r="BW117" s="54"/>
      <c r="BX117" s="38"/>
      <c r="BY117" s="55"/>
      <c r="BZ117" s="55"/>
    </row>
    <row r="118" spans="1:78" s="3" customFormat="1" ht="18.649999999999999" customHeight="1" x14ac:dyDescent="0.2">
      <c r="A118" s="137">
        <f t="shared" ref="A118" si="175">A121+1</f>
        <v>18</v>
      </c>
      <c r="B118" s="138"/>
      <c r="C118" s="179">
        <v>37987</v>
      </c>
      <c r="D118" s="180"/>
      <c r="E118" s="180"/>
      <c r="F118" s="180"/>
      <c r="G118" s="165" t="s">
        <v>218</v>
      </c>
      <c r="H118" s="114"/>
      <c r="I118" s="114"/>
      <c r="J118" s="168" t="s">
        <v>219</v>
      </c>
      <c r="K118" s="169"/>
      <c r="L118" s="169"/>
      <c r="M118" s="169"/>
      <c r="N118" s="169"/>
      <c r="O118" s="170"/>
      <c r="P118" s="114">
        <v>20</v>
      </c>
      <c r="Q118" s="114"/>
      <c r="R118" s="114"/>
      <c r="S118" s="128" t="s">
        <v>29</v>
      </c>
      <c r="T118" s="128"/>
      <c r="U118" s="128"/>
      <c r="V118" s="184" t="s">
        <v>220</v>
      </c>
      <c r="W118" s="185"/>
      <c r="X118" s="185"/>
      <c r="Y118" s="185"/>
      <c r="Z118" s="185"/>
      <c r="AA118" s="185"/>
      <c r="AB118" s="185"/>
      <c r="AC118" s="185"/>
      <c r="AD118" s="185"/>
      <c r="AE118" s="185"/>
      <c r="AF118" s="185"/>
      <c r="AG118" s="185"/>
      <c r="AH118" s="185"/>
      <c r="AI118" s="185"/>
      <c r="AJ118" s="185"/>
      <c r="AK118" s="185"/>
      <c r="AL118" s="185"/>
      <c r="AM118" s="186"/>
      <c r="AN118" s="165" t="s">
        <v>221</v>
      </c>
      <c r="AO118" s="114"/>
      <c r="AP118" s="114"/>
      <c r="AQ118" s="114"/>
      <c r="AR118" s="114"/>
      <c r="AS118" s="114"/>
      <c r="AT118" s="114"/>
      <c r="AU118" s="62"/>
      <c r="AV118" s="63" t="s">
        <v>41</v>
      </c>
      <c r="AW118" s="64"/>
      <c r="AX118" s="62"/>
      <c r="AY118" s="62" t="s">
        <v>40</v>
      </c>
      <c r="AZ118" s="62" t="s">
        <v>40</v>
      </c>
      <c r="BA118" s="62" t="s">
        <v>40</v>
      </c>
      <c r="BB118" s="62" t="s">
        <v>40</v>
      </c>
      <c r="BC118" s="62" t="s">
        <v>40</v>
      </c>
      <c r="BD118" s="62"/>
      <c r="BE118" s="62"/>
      <c r="BF118" s="63" t="s">
        <v>40</v>
      </c>
      <c r="BG118" s="65"/>
      <c r="BH118" s="66"/>
      <c r="BI118" s="66"/>
      <c r="BJ118" s="66"/>
      <c r="BK118" s="66"/>
      <c r="BL118" s="67"/>
      <c r="BM118" s="52"/>
      <c r="BO118" s="74" t="e">
        <f>IF(#REF!="●",SUM(DATEDIF($C118,$C119,"M"),1),"")</f>
        <v>#REF!</v>
      </c>
      <c r="BP118" s="75" t="str">
        <f>IF(AU118="●",SUM(DATEDIF($C118,$C119,"M"),1),"")</f>
        <v/>
      </c>
      <c r="BQ118" s="54">
        <f>IF(AV118="●",SUM(DATEDIF($C118,$C119,"M"),1),"")</f>
        <v>11</v>
      </c>
      <c r="BR118" s="74" t="str">
        <f t="shared" ref="BR118" si="176">IF(BR$38=$S118,SUM(DATEDIF($C118,$C119,"M"),1),"")</f>
        <v/>
      </c>
      <c r="BS118" s="75" t="str">
        <f t="shared" ref="BS118" si="177">IF(BS$38=$S118,SUM(DATEDIF($C118,$C119,"M"),1),"")</f>
        <v/>
      </c>
      <c r="BT118" s="75" t="str">
        <f t="shared" ref="BT118" si="178">IF(BT$38=$S118,SUM(DATEDIF($C118,$C119,"M"),1),"")</f>
        <v/>
      </c>
      <c r="BU118" s="75" t="str">
        <f t="shared" ref="BU118" si="179">IF(BU$38=$S118,SUM(DATEDIF($C118,$C119,"M"),1),"")</f>
        <v/>
      </c>
      <c r="BV118" s="75">
        <f t="shared" ref="BV118" si="180">IF(BV$38=$S118,SUM(DATEDIF($C118,$C119,"M"),1),"")</f>
        <v>11</v>
      </c>
      <c r="BW118" s="54" t="str">
        <f t="shared" ref="BW118" si="181">IF(BW$38=$S118,SUM(DATEDIF($C118,$C119,"M"),1),"")</f>
        <v/>
      </c>
      <c r="BX118" s="38"/>
      <c r="BY118" s="55">
        <f t="shared" ref="BY118" si="182">SUM(BR118:BW120)</f>
        <v>11</v>
      </c>
      <c r="BZ118" s="55" t="str">
        <f>C120</f>
        <v>&lt;11ヶ月&gt;</v>
      </c>
    </row>
    <row r="119" spans="1:78" s="3" customFormat="1" ht="18.649999999999999" customHeight="1" x14ac:dyDescent="0.2">
      <c r="A119" s="137"/>
      <c r="B119" s="138"/>
      <c r="C119" s="56">
        <v>38321</v>
      </c>
      <c r="D119" s="57"/>
      <c r="E119" s="57"/>
      <c r="F119" s="58"/>
      <c r="G119" s="114"/>
      <c r="H119" s="114"/>
      <c r="I119" s="114"/>
      <c r="J119" s="115"/>
      <c r="K119" s="116"/>
      <c r="L119" s="116"/>
      <c r="M119" s="116"/>
      <c r="N119" s="116"/>
      <c r="O119" s="117"/>
      <c r="P119" s="114"/>
      <c r="Q119" s="114"/>
      <c r="R119" s="114"/>
      <c r="S119" s="128"/>
      <c r="T119" s="128"/>
      <c r="U119" s="128"/>
      <c r="V119" s="129"/>
      <c r="W119" s="130"/>
      <c r="X119" s="130"/>
      <c r="Y119" s="130"/>
      <c r="Z119" s="130"/>
      <c r="AA119" s="130"/>
      <c r="AB119" s="130"/>
      <c r="AC119" s="130"/>
      <c r="AD119" s="130"/>
      <c r="AE119" s="130"/>
      <c r="AF119" s="130"/>
      <c r="AG119" s="130"/>
      <c r="AH119" s="130"/>
      <c r="AI119" s="130"/>
      <c r="AJ119" s="130"/>
      <c r="AK119" s="130"/>
      <c r="AL119" s="130"/>
      <c r="AM119" s="131"/>
      <c r="AN119" s="114"/>
      <c r="AO119" s="114"/>
      <c r="AP119" s="114"/>
      <c r="AQ119" s="114"/>
      <c r="AR119" s="114"/>
      <c r="AS119" s="114"/>
      <c r="AT119" s="114"/>
      <c r="AU119" s="62"/>
      <c r="AV119" s="63"/>
      <c r="AW119" s="64"/>
      <c r="AX119" s="62"/>
      <c r="AY119" s="62"/>
      <c r="AZ119" s="62"/>
      <c r="BA119" s="62"/>
      <c r="BB119" s="62"/>
      <c r="BC119" s="62"/>
      <c r="BD119" s="62"/>
      <c r="BE119" s="62"/>
      <c r="BF119" s="63"/>
      <c r="BG119" s="68"/>
      <c r="BH119" s="69"/>
      <c r="BI119" s="69"/>
      <c r="BJ119" s="69"/>
      <c r="BK119" s="69"/>
      <c r="BL119" s="70"/>
      <c r="BM119" s="52"/>
      <c r="BO119" s="74"/>
      <c r="BP119" s="75"/>
      <c r="BQ119" s="54"/>
      <c r="BR119" s="74"/>
      <c r="BS119" s="75"/>
      <c r="BT119" s="75"/>
      <c r="BU119" s="75"/>
      <c r="BV119" s="75"/>
      <c r="BW119" s="54"/>
      <c r="BX119" s="38"/>
      <c r="BY119" s="55"/>
      <c r="BZ119" s="55"/>
    </row>
    <row r="120" spans="1:78" s="3" customFormat="1" ht="75.75" customHeight="1" x14ac:dyDescent="0.2">
      <c r="A120" s="137"/>
      <c r="B120" s="138"/>
      <c r="C120" s="59" t="str">
        <f>CONCATENATE("&lt;",SUM(DATEDIF(C118,C119,"M"),1),"ヶ月&gt;")</f>
        <v>&lt;11ヶ月&gt;</v>
      </c>
      <c r="D120" s="60"/>
      <c r="E120" s="60"/>
      <c r="F120" s="61"/>
      <c r="G120" s="114"/>
      <c r="H120" s="114"/>
      <c r="I120" s="114"/>
      <c r="J120" s="118"/>
      <c r="K120" s="119"/>
      <c r="L120" s="119"/>
      <c r="M120" s="119"/>
      <c r="N120" s="119"/>
      <c r="O120" s="120"/>
      <c r="P120" s="114"/>
      <c r="Q120" s="114"/>
      <c r="R120" s="114"/>
      <c r="S120" s="128"/>
      <c r="T120" s="128"/>
      <c r="U120" s="128"/>
      <c r="V120" s="132"/>
      <c r="W120" s="133"/>
      <c r="X120" s="133"/>
      <c r="Y120" s="133"/>
      <c r="Z120" s="133"/>
      <c r="AA120" s="133"/>
      <c r="AB120" s="133"/>
      <c r="AC120" s="133"/>
      <c r="AD120" s="133"/>
      <c r="AE120" s="133"/>
      <c r="AF120" s="133"/>
      <c r="AG120" s="133"/>
      <c r="AH120" s="133"/>
      <c r="AI120" s="133"/>
      <c r="AJ120" s="133"/>
      <c r="AK120" s="133"/>
      <c r="AL120" s="133"/>
      <c r="AM120" s="134"/>
      <c r="AN120" s="114"/>
      <c r="AO120" s="114"/>
      <c r="AP120" s="114"/>
      <c r="AQ120" s="114"/>
      <c r="AR120" s="114"/>
      <c r="AS120" s="114"/>
      <c r="AT120" s="114"/>
      <c r="AU120" s="62"/>
      <c r="AV120" s="63"/>
      <c r="AW120" s="64"/>
      <c r="AX120" s="62"/>
      <c r="AY120" s="62"/>
      <c r="AZ120" s="62"/>
      <c r="BA120" s="62"/>
      <c r="BB120" s="62"/>
      <c r="BC120" s="62"/>
      <c r="BD120" s="62"/>
      <c r="BE120" s="62"/>
      <c r="BF120" s="63"/>
      <c r="BG120" s="71"/>
      <c r="BH120" s="72"/>
      <c r="BI120" s="72"/>
      <c r="BJ120" s="72"/>
      <c r="BK120" s="72"/>
      <c r="BL120" s="73"/>
      <c r="BM120" s="52"/>
      <c r="BO120" s="74"/>
      <c r="BP120" s="75"/>
      <c r="BQ120" s="54"/>
      <c r="BR120" s="74"/>
      <c r="BS120" s="75"/>
      <c r="BT120" s="75"/>
      <c r="BU120" s="75"/>
      <c r="BV120" s="75"/>
      <c r="BW120" s="54"/>
      <c r="BX120" s="38"/>
      <c r="BY120" s="55"/>
      <c r="BZ120" s="55"/>
    </row>
    <row r="121" spans="1:78" s="3" customFormat="1" ht="18.649999999999999" customHeight="1" x14ac:dyDescent="0.2">
      <c r="A121" s="137">
        <f t="shared" ref="A121" si="183">A124+1</f>
        <v>17</v>
      </c>
      <c r="B121" s="138"/>
      <c r="C121" s="179">
        <v>36465</v>
      </c>
      <c r="D121" s="180"/>
      <c r="E121" s="180"/>
      <c r="F121" s="180"/>
      <c r="G121" s="165" t="s">
        <v>218</v>
      </c>
      <c r="H121" s="114"/>
      <c r="I121" s="114"/>
      <c r="J121" s="168" t="s">
        <v>222</v>
      </c>
      <c r="K121" s="169"/>
      <c r="L121" s="169"/>
      <c r="M121" s="169"/>
      <c r="N121" s="169"/>
      <c r="O121" s="170"/>
      <c r="P121" s="114">
        <v>20</v>
      </c>
      <c r="Q121" s="114"/>
      <c r="R121" s="114"/>
      <c r="S121" s="128" t="s">
        <v>29</v>
      </c>
      <c r="T121" s="128"/>
      <c r="U121" s="128"/>
      <c r="V121" s="184" t="s">
        <v>223</v>
      </c>
      <c r="W121" s="185"/>
      <c r="X121" s="185"/>
      <c r="Y121" s="185"/>
      <c r="Z121" s="185"/>
      <c r="AA121" s="185"/>
      <c r="AB121" s="185"/>
      <c r="AC121" s="185"/>
      <c r="AD121" s="185"/>
      <c r="AE121" s="185"/>
      <c r="AF121" s="185"/>
      <c r="AG121" s="185"/>
      <c r="AH121" s="185"/>
      <c r="AI121" s="185"/>
      <c r="AJ121" s="185"/>
      <c r="AK121" s="185"/>
      <c r="AL121" s="185"/>
      <c r="AM121" s="186"/>
      <c r="AN121" s="165" t="s">
        <v>224</v>
      </c>
      <c r="AO121" s="114"/>
      <c r="AP121" s="114"/>
      <c r="AQ121" s="114"/>
      <c r="AR121" s="114"/>
      <c r="AS121" s="114"/>
      <c r="AT121" s="114"/>
      <c r="AU121" s="62"/>
      <c r="AV121" s="63" t="s">
        <v>41</v>
      </c>
      <c r="AW121" s="64"/>
      <c r="AX121" s="62"/>
      <c r="AY121" s="62" t="s">
        <v>40</v>
      </c>
      <c r="AZ121" s="62" t="s">
        <v>40</v>
      </c>
      <c r="BA121" s="62" t="s">
        <v>40</v>
      </c>
      <c r="BB121" s="62" t="s">
        <v>40</v>
      </c>
      <c r="BC121" s="62" t="s">
        <v>40</v>
      </c>
      <c r="BD121" s="62"/>
      <c r="BE121" s="62"/>
      <c r="BF121" s="63" t="s">
        <v>40</v>
      </c>
      <c r="BG121" s="65"/>
      <c r="BH121" s="66"/>
      <c r="BI121" s="66"/>
      <c r="BJ121" s="66"/>
      <c r="BK121" s="66"/>
      <c r="BL121" s="67"/>
      <c r="BM121" s="52"/>
      <c r="BO121" s="74"/>
      <c r="BP121" s="75"/>
      <c r="BQ121" s="54">
        <f t="shared" ref="BQ121" si="184">SUM(DATEDIF($C121,$C122,"M"),1)</f>
        <v>50</v>
      </c>
      <c r="BR121" s="74" t="str">
        <f t="shared" ref="BR121" si="185">IF(BR$38=$S121,SUM(DATEDIF($C121,$C122,"M"),1),"")</f>
        <v/>
      </c>
      <c r="BS121" s="75" t="str">
        <f t="shared" ref="BS121" si="186">IF(BS$38=$S121,SUM(DATEDIF($C121,$C122,"M"),1),"")</f>
        <v/>
      </c>
      <c r="BT121" s="75" t="str">
        <f t="shared" ref="BT121" si="187">IF(BT$38=$S121,SUM(DATEDIF($C121,$C122,"M"),1),"")</f>
        <v/>
      </c>
      <c r="BU121" s="75" t="str">
        <f t="shared" ref="BU121" si="188">IF(BU$38=$S121,SUM(DATEDIF($C121,$C122,"M"),1),"")</f>
        <v/>
      </c>
      <c r="BV121" s="75">
        <f t="shared" ref="BV121" si="189">IF(BV$38=$S121,SUM(DATEDIF($C121,$C122,"M"),1),"")</f>
        <v>50</v>
      </c>
      <c r="BW121" s="54" t="str">
        <f t="shared" ref="BW121" si="190">IF(BW$38=$S121,SUM(DATEDIF($C121,$C122,"M"),1),"")</f>
        <v/>
      </c>
      <c r="BX121" s="38"/>
      <c r="BY121" s="55">
        <f t="shared" ref="BY121" si="191">SUM(BR121:BW123)</f>
        <v>50</v>
      </c>
      <c r="BZ121" s="55" t="str">
        <f>C123</f>
        <v>&lt;50ヶ月&gt;</v>
      </c>
    </row>
    <row r="122" spans="1:78" s="3" customFormat="1" ht="18.649999999999999" customHeight="1" x14ac:dyDescent="0.2">
      <c r="A122" s="137"/>
      <c r="B122" s="138"/>
      <c r="C122" s="56">
        <v>37986</v>
      </c>
      <c r="D122" s="57"/>
      <c r="E122" s="57"/>
      <c r="F122" s="58"/>
      <c r="G122" s="114"/>
      <c r="H122" s="114"/>
      <c r="I122" s="114"/>
      <c r="J122" s="115"/>
      <c r="K122" s="116"/>
      <c r="L122" s="116"/>
      <c r="M122" s="116"/>
      <c r="N122" s="116"/>
      <c r="O122" s="117"/>
      <c r="P122" s="114"/>
      <c r="Q122" s="114"/>
      <c r="R122" s="114"/>
      <c r="S122" s="128"/>
      <c r="T122" s="128"/>
      <c r="U122" s="128"/>
      <c r="V122" s="129"/>
      <c r="W122" s="130"/>
      <c r="X122" s="130"/>
      <c r="Y122" s="130"/>
      <c r="Z122" s="130"/>
      <c r="AA122" s="130"/>
      <c r="AB122" s="130"/>
      <c r="AC122" s="130"/>
      <c r="AD122" s="130"/>
      <c r="AE122" s="130"/>
      <c r="AF122" s="130"/>
      <c r="AG122" s="130"/>
      <c r="AH122" s="130"/>
      <c r="AI122" s="130"/>
      <c r="AJ122" s="130"/>
      <c r="AK122" s="130"/>
      <c r="AL122" s="130"/>
      <c r="AM122" s="131"/>
      <c r="AN122" s="114"/>
      <c r="AO122" s="114"/>
      <c r="AP122" s="114"/>
      <c r="AQ122" s="114"/>
      <c r="AR122" s="114"/>
      <c r="AS122" s="114"/>
      <c r="AT122" s="114"/>
      <c r="AU122" s="62"/>
      <c r="AV122" s="63"/>
      <c r="AW122" s="64"/>
      <c r="AX122" s="62"/>
      <c r="AY122" s="62"/>
      <c r="AZ122" s="62"/>
      <c r="BA122" s="62"/>
      <c r="BB122" s="62"/>
      <c r="BC122" s="62"/>
      <c r="BD122" s="62"/>
      <c r="BE122" s="62"/>
      <c r="BF122" s="63"/>
      <c r="BG122" s="68"/>
      <c r="BH122" s="69"/>
      <c r="BI122" s="69"/>
      <c r="BJ122" s="69"/>
      <c r="BK122" s="69"/>
      <c r="BL122" s="70"/>
      <c r="BM122" s="52"/>
      <c r="BO122" s="74"/>
      <c r="BP122" s="75"/>
      <c r="BQ122" s="54"/>
      <c r="BR122" s="74"/>
      <c r="BS122" s="75"/>
      <c r="BT122" s="75"/>
      <c r="BU122" s="75"/>
      <c r="BV122" s="75"/>
      <c r="BW122" s="54"/>
      <c r="BX122" s="38"/>
      <c r="BY122" s="55"/>
      <c r="BZ122" s="55"/>
    </row>
    <row r="123" spans="1:78" s="3" customFormat="1" ht="74.25" customHeight="1" x14ac:dyDescent="0.2">
      <c r="A123" s="137"/>
      <c r="B123" s="138"/>
      <c r="C123" s="59" t="str">
        <f>CONCATENATE("&lt;",SUM(DATEDIF(C121,C122,"M"),1),"ヶ月&gt;")</f>
        <v>&lt;50ヶ月&gt;</v>
      </c>
      <c r="D123" s="60"/>
      <c r="E123" s="60"/>
      <c r="F123" s="61"/>
      <c r="G123" s="114"/>
      <c r="H123" s="114"/>
      <c r="I123" s="114"/>
      <c r="J123" s="118"/>
      <c r="K123" s="119"/>
      <c r="L123" s="119"/>
      <c r="M123" s="119"/>
      <c r="N123" s="119"/>
      <c r="O123" s="120"/>
      <c r="P123" s="114"/>
      <c r="Q123" s="114"/>
      <c r="R123" s="114"/>
      <c r="S123" s="128"/>
      <c r="T123" s="128"/>
      <c r="U123" s="128"/>
      <c r="V123" s="132"/>
      <c r="W123" s="133"/>
      <c r="X123" s="133"/>
      <c r="Y123" s="133"/>
      <c r="Z123" s="133"/>
      <c r="AA123" s="133"/>
      <c r="AB123" s="133"/>
      <c r="AC123" s="133"/>
      <c r="AD123" s="133"/>
      <c r="AE123" s="133"/>
      <c r="AF123" s="133"/>
      <c r="AG123" s="133"/>
      <c r="AH123" s="133"/>
      <c r="AI123" s="133"/>
      <c r="AJ123" s="133"/>
      <c r="AK123" s="133"/>
      <c r="AL123" s="133"/>
      <c r="AM123" s="134"/>
      <c r="AN123" s="114"/>
      <c r="AO123" s="114"/>
      <c r="AP123" s="114"/>
      <c r="AQ123" s="114"/>
      <c r="AR123" s="114"/>
      <c r="AS123" s="114"/>
      <c r="AT123" s="114"/>
      <c r="AU123" s="62"/>
      <c r="AV123" s="63"/>
      <c r="AW123" s="64"/>
      <c r="AX123" s="62"/>
      <c r="AY123" s="62"/>
      <c r="AZ123" s="62"/>
      <c r="BA123" s="62"/>
      <c r="BB123" s="62"/>
      <c r="BC123" s="62"/>
      <c r="BD123" s="62"/>
      <c r="BE123" s="62"/>
      <c r="BF123" s="63"/>
      <c r="BG123" s="71"/>
      <c r="BH123" s="72"/>
      <c r="BI123" s="72"/>
      <c r="BJ123" s="72"/>
      <c r="BK123" s="72"/>
      <c r="BL123" s="73"/>
      <c r="BM123" s="52"/>
      <c r="BO123" s="74"/>
      <c r="BP123" s="75"/>
      <c r="BQ123" s="54"/>
      <c r="BR123" s="74"/>
      <c r="BS123" s="75"/>
      <c r="BT123" s="75"/>
      <c r="BU123" s="75"/>
      <c r="BV123" s="75"/>
      <c r="BW123" s="54"/>
      <c r="BX123" s="38"/>
      <c r="BY123" s="55"/>
      <c r="BZ123" s="55"/>
    </row>
    <row r="124" spans="1:78" s="3" customFormat="1" ht="18.649999999999999" customHeight="1" x14ac:dyDescent="0.2">
      <c r="A124" s="137">
        <f t="shared" ref="A124" si="192">A127+1</f>
        <v>16</v>
      </c>
      <c r="B124" s="138"/>
      <c r="C124" s="179">
        <v>36281</v>
      </c>
      <c r="D124" s="180"/>
      <c r="E124" s="180"/>
      <c r="F124" s="180"/>
      <c r="G124" s="165" t="s">
        <v>218</v>
      </c>
      <c r="H124" s="114"/>
      <c r="I124" s="114"/>
      <c r="J124" s="168" t="s">
        <v>225</v>
      </c>
      <c r="K124" s="169"/>
      <c r="L124" s="169"/>
      <c r="M124" s="169"/>
      <c r="N124" s="169"/>
      <c r="O124" s="170"/>
      <c r="P124" s="114">
        <v>2</v>
      </c>
      <c r="Q124" s="114"/>
      <c r="R124" s="114"/>
      <c r="S124" s="128" t="s">
        <v>127</v>
      </c>
      <c r="T124" s="128"/>
      <c r="U124" s="128"/>
      <c r="V124" s="184" t="s">
        <v>226</v>
      </c>
      <c r="W124" s="185"/>
      <c r="X124" s="185"/>
      <c r="Y124" s="185"/>
      <c r="Z124" s="185"/>
      <c r="AA124" s="185"/>
      <c r="AB124" s="185"/>
      <c r="AC124" s="185"/>
      <c r="AD124" s="185"/>
      <c r="AE124" s="185"/>
      <c r="AF124" s="185"/>
      <c r="AG124" s="185"/>
      <c r="AH124" s="185"/>
      <c r="AI124" s="185"/>
      <c r="AJ124" s="185"/>
      <c r="AK124" s="185"/>
      <c r="AL124" s="185"/>
      <c r="AM124" s="186"/>
      <c r="AN124" s="165" t="s">
        <v>227</v>
      </c>
      <c r="AO124" s="114"/>
      <c r="AP124" s="114"/>
      <c r="AQ124" s="114"/>
      <c r="AR124" s="114"/>
      <c r="AS124" s="114"/>
      <c r="AT124" s="114"/>
      <c r="AU124" s="62" t="s">
        <v>40</v>
      </c>
      <c r="AV124" s="63"/>
      <c r="AW124" s="64"/>
      <c r="AX124" s="62" t="s">
        <v>40</v>
      </c>
      <c r="AY124" s="62" t="s">
        <v>40</v>
      </c>
      <c r="AZ124" s="62" t="s">
        <v>40</v>
      </c>
      <c r="BA124" s="62" t="s">
        <v>40</v>
      </c>
      <c r="BB124" s="62" t="s">
        <v>40</v>
      </c>
      <c r="BC124" s="62" t="s">
        <v>40</v>
      </c>
      <c r="BD124" s="62" t="s">
        <v>40</v>
      </c>
      <c r="BE124" s="62"/>
      <c r="BF124" s="63" t="s">
        <v>40</v>
      </c>
      <c r="BG124" s="65"/>
      <c r="BH124" s="66"/>
      <c r="BI124" s="66"/>
      <c r="BJ124" s="66"/>
      <c r="BK124" s="66"/>
      <c r="BL124" s="67"/>
      <c r="BM124" s="52"/>
      <c r="BO124" s="74" t="e">
        <f>IF(#REF!="●",SUM(DATEDIF($C124,$C125,"M"),1),"")</f>
        <v>#REF!</v>
      </c>
      <c r="BP124" s="75">
        <f>IF(AU124="●",SUM(DATEDIF($C124,$C125,"M"),1),"")</f>
        <v>6</v>
      </c>
      <c r="BQ124" s="54" t="str">
        <f>IF(AV124="●",SUM(DATEDIF($C124,$C125,"M"),1),"")</f>
        <v/>
      </c>
      <c r="BR124" s="74">
        <f t="shared" ref="BR124" si="193">IF(BR$38=$S124,SUM(DATEDIF($C124,$C125,"M"),1),"")</f>
        <v>6</v>
      </c>
      <c r="BS124" s="75" t="str">
        <f t="shared" ref="BS124" si="194">IF(BS$38=$S124,SUM(DATEDIF($C124,$C125,"M"),1),"")</f>
        <v/>
      </c>
      <c r="BT124" s="75" t="str">
        <f t="shared" ref="BT124" si="195">IF(BT$38=$S124,SUM(DATEDIF($C124,$C125,"M"),1),"")</f>
        <v/>
      </c>
      <c r="BU124" s="75" t="str">
        <f t="shared" ref="BU124" si="196">IF(BU$38=$S124,SUM(DATEDIF($C124,$C125,"M"),1),"")</f>
        <v/>
      </c>
      <c r="BV124" s="75" t="str">
        <f t="shared" ref="BV124" si="197">IF(BV$38=$S124,SUM(DATEDIF($C124,$C125,"M"),1),"")</f>
        <v/>
      </c>
      <c r="BW124" s="54" t="str">
        <f t="shared" ref="BW124" si="198">IF(BW$38=$S124,SUM(DATEDIF($C124,$C125,"M"),1),"")</f>
        <v/>
      </c>
      <c r="BX124" s="38"/>
      <c r="BY124" s="55">
        <f t="shared" ref="BY124" si="199">SUM(BR124:BW126)</f>
        <v>6</v>
      </c>
      <c r="BZ124" s="55" t="str">
        <f>C126</f>
        <v>&lt;6ヶ月&gt;</v>
      </c>
    </row>
    <row r="125" spans="1:78" s="3" customFormat="1" ht="18.649999999999999" customHeight="1" x14ac:dyDescent="0.2">
      <c r="A125" s="137"/>
      <c r="B125" s="138"/>
      <c r="C125" s="56">
        <v>36464</v>
      </c>
      <c r="D125" s="57"/>
      <c r="E125" s="57"/>
      <c r="F125" s="58"/>
      <c r="G125" s="114"/>
      <c r="H125" s="114"/>
      <c r="I125" s="114"/>
      <c r="J125" s="115"/>
      <c r="K125" s="116"/>
      <c r="L125" s="116"/>
      <c r="M125" s="116"/>
      <c r="N125" s="116"/>
      <c r="O125" s="117"/>
      <c r="P125" s="114"/>
      <c r="Q125" s="114"/>
      <c r="R125" s="114"/>
      <c r="S125" s="128"/>
      <c r="T125" s="128"/>
      <c r="U125" s="128"/>
      <c r="V125" s="129"/>
      <c r="W125" s="130"/>
      <c r="X125" s="130"/>
      <c r="Y125" s="130"/>
      <c r="Z125" s="130"/>
      <c r="AA125" s="130"/>
      <c r="AB125" s="130"/>
      <c r="AC125" s="130"/>
      <c r="AD125" s="130"/>
      <c r="AE125" s="130"/>
      <c r="AF125" s="130"/>
      <c r="AG125" s="130"/>
      <c r="AH125" s="130"/>
      <c r="AI125" s="130"/>
      <c r="AJ125" s="130"/>
      <c r="AK125" s="130"/>
      <c r="AL125" s="130"/>
      <c r="AM125" s="131"/>
      <c r="AN125" s="114"/>
      <c r="AO125" s="114"/>
      <c r="AP125" s="114"/>
      <c r="AQ125" s="114"/>
      <c r="AR125" s="114"/>
      <c r="AS125" s="114"/>
      <c r="AT125" s="114"/>
      <c r="AU125" s="62"/>
      <c r="AV125" s="63"/>
      <c r="AW125" s="64"/>
      <c r="AX125" s="62"/>
      <c r="AY125" s="62"/>
      <c r="AZ125" s="62"/>
      <c r="BA125" s="62"/>
      <c r="BB125" s="62"/>
      <c r="BC125" s="62"/>
      <c r="BD125" s="62"/>
      <c r="BE125" s="62"/>
      <c r="BF125" s="63"/>
      <c r="BG125" s="68"/>
      <c r="BH125" s="69"/>
      <c r="BI125" s="69"/>
      <c r="BJ125" s="69"/>
      <c r="BK125" s="69"/>
      <c r="BL125" s="70"/>
      <c r="BM125" s="52"/>
      <c r="BO125" s="74"/>
      <c r="BP125" s="75"/>
      <c r="BQ125" s="54"/>
      <c r="BR125" s="74"/>
      <c r="BS125" s="75"/>
      <c r="BT125" s="75"/>
      <c r="BU125" s="75"/>
      <c r="BV125" s="75"/>
      <c r="BW125" s="54"/>
      <c r="BX125" s="38"/>
      <c r="BY125" s="55"/>
      <c r="BZ125" s="55"/>
    </row>
    <row r="126" spans="1:78" s="3" customFormat="1" ht="31.5" customHeight="1" x14ac:dyDescent="0.2">
      <c r="A126" s="137"/>
      <c r="B126" s="138"/>
      <c r="C126" s="59" t="str">
        <f>CONCATENATE("&lt;",SUM(DATEDIF(C124,C125,"M"),1),"ヶ月&gt;")</f>
        <v>&lt;6ヶ月&gt;</v>
      </c>
      <c r="D126" s="60"/>
      <c r="E126" s="60"/>
      <c r="F126" s="61"/>
      <c r="G126" s="114"/>
      <c r="H126" s="114"/>
      <c r="I126" s="114"/>
      <c r="J126" s="118"/>
      <c r="K126" s="119"/>
      <c r="L126" s="119"/>
      <c r="M126" s="119"/>
      <c r="N126" s="119"/>
      <c r="O126" s="120"/>
      <c r="P126" s="114"/>
      <c r="Q126" s="114"/>
      <c r="R126" s="114"/>
      <c r="S126" s="128"/>
      <c r="T126" s="128"/>
      <c r="U126" s="128"/>
      <c r="V126" s="132"/>
      <c r="W126" s="133"/>
      <c r="X126" s="133"/>
      <c r="Y126" s="133"/>
      <c r="Z126" s="133"/>
      <c r="AA126" s="133"/>
      <c r="AB126" s="133"/>
      <c r="AC126" s="133"/>
      <c r="AD126" s="133"/>
      <c r="AE126" s="133"/>
      <c r="AF126" s="133"/>
      <c r="AG126" s="133"/>
      <c r="AH126" s="133"/>
      <c r="AI126" s="133"/>
      <c r="AJ126" s="133"/>
      <c r="AK126" s="133"/>
      <c r="AL126" s="133"/>
      <c r="AM126" s="134"/>
      <c r="AN126" s="114"/>
      <c r="AO126" s="114"/>
      <c r="AP126" s="114"/>
      <c r="AQ126" s="114"/>
      <c r="AR126" s="114"/>
      <c r="AS126" s="114"/>
      <c r="AT126" s="114"/>
      <c r="AU126" s="62"/>
      <c r="AV126" s="63"/>
      <c r="AW126" s="64"/>
      <c r="AX126" s="62"/>
      <c r="AY126" s="62"/>
      <c r="AZ126" s="62"/>
      <c r="BA126" s="62"/>
      <c r="BB126" s="62"/>
      <c r="BC126" s="62"/>
      <c r="BD126" s="62"/>
      <c r="BE126" s="62"/>
      <c r="BF126" s="63"/>
      <c r="BG126" s="71"/>
      <c r="BH126" s="72"/>
      <c r="BI126" s="72"/>
      <c r="BJ126" s="72"/>
      <c r="BK126" s="72"/>
      <c r="BL126" s="73"/>
      <c r="BM126" s="52"/>
      <c r="BO126" s="74"/>
      <c r="BP126" s="75"/>
      <c r="BQ126" s="54"/>
      <c r="BR126" s="74"/>
      <c r="BS126" s="75"/>
      <c r="BT126" s="75"/>
      <c r="BU126" s="75"/>
      <c r="BV126" s="75"/>
      <c r="BW126" s="54"/>
      <c r="BX126" s="38"/>
      <c r="BY126" s="55"/>
      <c r="BZ126" s="55"/>
    </row>
    <row r="127" spans="1:78" s="3" customFormat="1" ht="18.649999999999999" customHeight="1" x14ac:dyDescent="0.2">
      <c r="A127" s="137">
        <f t="shared" ref="A127" si="200">A130+1</f>
        <v>15</v>
      </c>
      <c r="B127" s="138"/>
      <c r="C127" s="179">
        <v>36100</v>
      </c>
      <c r="D127" s="180"/>
      <c r="E127" s="180"/>
      <c r="F127" s="180"/>
      <c r="G127" s="165" t="s">
        <v>228</v>
      </c>
      <c r="H127" s="114"/>
      <c r="I127" s="114"/>
      <c r="J127" s="168" t="s">
        <v>229</v>
      </c>
      <c r="K127" s="169"/>
      <c r="L127" s="169"/>
      <c r="M127" s="169"/>
      <c r="N127" s="169"/>
      <c r="O127" s="170"/>
      <c r="P127" s="114">
        <v>50</v>
      </c>
      <c r="Q127" s="114"/>
      <c r="R127" s="114"/>
      <c r="S127" s="128" t="s">
        <v>170</v>
      </c>
      <c r="T127" s="128"/>
      <c r="U127" s="128"/>
      <c r="V127" s="184" t="s">
        <v>230</v>
      </c>
      <c r="W127" s="185"/>
      <c r="X127" s="185"/>
      <c r="Y127" s="185"/>
      <c r="Z127" s="185"/>
      <c r="AA127" s="185"/>
      <c r="AB127" s="185"/>
      <c r="AC127" s="185"/>
      <c r="AD127" s="185"/>
      <c r="AE127" s="185"/>
      <c r="AF127" s="185"/>
      <c r="AG127" s="185"/>
      <c r="AH127" s="185"/>
      <c r="AI127" s="185"/>
      <c r="AJ127" s="185"/>
      <c r="AK127" s="185"/>
      <c r="AL127" s="185"/>
      <c r="AM127" s="186"/>
      <c r="AN127" s="165" t="s">
        <v>231</v>
      </c>
      <c r="AO127" s="114"/>
      <c r="AP127" s="114"/>
      <c r="AQ127" s="114"/>
      <c r="AR127" s="114"/>
      <c r="AS127" s="114"/>
      <c r="AT127" s="114"/>
      <c r="AU127" s="62" t="s">
        <v>41</v>
      </c>
      <c r="AV127" s="63"/>
      <c r="AW127" s="64"/>
      <c r="AX127" s="62"/>
      <c r="AY127" s="62"/>
      <c r="AZ127" s="62"/>
      <c r="BA127" s="62"/>
      <c r="BB127" s="62"/>
      <c r="BC127" s="62"/>
      <c r="BD127" s="62"/>
      <c r="BE127" s="62"/>
      <c r="BF127" s="63" t="s">
        <v>40</v>
      </c>
      <c r="BG127" s="65"/>
      <c r="BH127" s="66"/>
      <c r="BI127" s="66"/>
      <c r="BJ127" s="66"/>
      <c r="BK127" s="66"/>
      <c r="BL127" s="67"/>
      <c r="BM127" s="52"/>
      <c r="BO127" s="74" t="e">
        <f>IF(#REF!="●",SUM(DATEDIF($C127,$C128,"M"),1),"")</f>
        <v>#REF!</v>
      </c>
      <c r="BP127" s="75">
        <f>IF(AU127="●",SUM(DATEDIF($C127,$C128,"M"),1),"")</f>
        <v>6</v>
      </c>
      <c r="BQ127" s="54" t="str">
        <f>IF(AV127="●",SUM(DATEDIF($C127,$C128,"M"),1),"")</f>
        <v/>
      </c>
      <c r="BR127" s="74" t="str">
        <f t="shared" ref="BR127" si="201">IF(BR$38=$S127,SUM(DATEDIF($C127,$C128,"M"),1),"")</f>
        <v/>
      </c>
      <c r="BS127" s="75" t="str">
        <f t="shared" ref="BS127" si="202">IF(BS$38=$S127,SUM(DATEDIF($C127,$C128,"M"),1),"")</f>
        <v/>
      </c>
      <c r="BT127" s="75" t="str">
        <f t="shared" ref="BT127" si="203">IF(BT$38=$S127,SUM(DATEDIF($C127,$C128,"M"),1),"")</f>
        <v/>
      </c>
      <c r="BU127" s="75">
        <f t="shared" ref="BU127" si="204">IF(BU$38=$S127,SUM(DATEDIF($C127,$C128,"M"),1),"")</f>
        <v>6</v>
      </c>
      <c r="BV127" s="75" t="str">
        <f t="shared" ref="BV127" si="205">IF(BV$38=$S127,SUM(DATEDIF($C127,$C128,"M"),1),"")</f>
        <v/>
      </c>
      <c r="BW127" s="54" t="str">
        <f t="shared" ref="BW127" si="206">IF(BW$38=$S127,SUM(DATEDIF($C127,$C128,"M"),1),"")</f>
        <v/>
      </c>
      <c r="BX127" s="38"/>
      <c r="BY127" s="55">
        <f t="shared" ref="BY127" si="207">SUM(BR127:BW129)</f>
        <v>6</v>
      </c>
      <c r="BZ127" s="55" t="str">
        <f>C129</f>
        <v>&lt;6ヶ月&gt;</v>
      </c>
    </row>
    <row r="128" spans="1:78" s="3" customFormat="1" ht="18.649999999999999" customHeight="1" x14ac:dyDescent="0.2">
      <c r="A128" s="137"/>
      <c r="B128" s="138"/>
      <c r="C128" s="56">
        <v>36280</v>
      </c>
      <c r="D128" s="57"/>
      <c r="E128" s="57"/>
      <c r="F128" s="58"/>
      <c r="G128" s="114"/>
      <c r="H128" s="114"/>
      <c r="I128" s="114"/>
      <c r="J128" s="115"/>
      <c r="K128" s="116"/>
      <c r="L128" s="116"/>
      <c r="M128" s="116"/>
      <c r="N128" s="116"/>
      <c r="O128" s="117"/>
      <c r="P128" s="114"/>
      <c r="Q128" s="114"/>
      <c r="R128" s="114"/>
      <c r="S128" s="128"/>
      <c r="T128" s="128"/>
      <c r="U128" s="128"/>
      <c r="V128" s="129"/>
      <c r="W128" s="130"/>
      <c r="X128" s="130"/>
      <c r="Y128" s="130"/>
      <c r="Z128" s="130"/>
      <c r="AA128" s="130"/>
      <c r="AB128" s="130"/>
      <c r="AC128" s="130"/>
      <c r="AD128" s="130"/>
      <c r="AE128" s="130"/>
      <c r="AF128" s="130"/>
      <c r="AG128" s="130"/>
      <c r="AH128" s="130"/>
      <c r="AI128" s="130"/>
      <c r="AJ128" s="130"/>
      <c r="AK128" s="130"/>
      <c r="AL128" s="130"/>
      <c r="AM128" s="131"/>
      <c r="AN128" s="114"/>
      <c r="AO128" s="114"/>
      <c r="AP128" s="114"/>
      <c r="AQ128" s="114"/>
      <c r="AR128" s="114"/>
      <c r="AS128" s="114"/>
      <c r="AT128" s="114"/>
      <c r="AU128" s="62"/>
      <c r="AV128" s="63"/>
      <c r="AW128" s="64"/>
      <c r="AX128" s="62"/>
      <c r="AY128" s="62"/>
      <c r="AZ128" s="62"/>
      <c r="BA128" s="62"/>
      <c r="BB128" s="62"/>
      <c r="BC128" s="62"/>
      <c r="BD128" s="62"/>
      <c r="BE128" s="62"/>
      <c r="BF128" s="63"/>
      <c r="BG128" s="68"/>
      <c r="BH128" s="69"/>
      <c r="BI128" s="69"/>
      <c r="BJ128" s="69"/>
      <c r="BK128" s="69"/>
      <c r="BL128" s="70"/>
      <c r="BM128" s="52"/>
      <c r="BO128" s="74"/>
      <c r="BP128" s="75"/>
      <c r="BQ128" s="54"/>
      <c r="BR128" s="74"/>
      <c r="BS128" s="75"/>
      <c r="BT128" s="75"/>
      <c r="BU128" s="75"/>
      <c r="BV128" s="75"/>
      <c r="BW128" s="54"/>
      <c r="BX128" s="38"/>
      <c r="BY128" s="55"/>
      <c r="BZ128" s="55"/>
    </row>
    <row r="129" spans="1:78" s="3" customFormat="1" ht="27.75" customHeight="1" x14ac:dyDescent="0.2">
      <c r="A129" s="137"/>
      <c r="B129" s="138"/>
      <c r="C129" s="59" t="str">
        <f>CONCATENATE("&lt;",SUM(DATEDIF(C127,C128,"M"),1),"ヶ月&gt;")</f>
        <v>&lt;6ヶ月&gt;</v>
      </c>
      <c r="D129" s="60"/>
      <c r="E129" s="60"/>
      <c r="F129" s="61"/>
      <c r="G129" s="114"/>
      <c r="H129" s="114"/>
      <c r="I129" s="114"/>
      <c r="J129" s="118"/>
      <c r="K129" s="119"/>
      <c r="L129" s="119"/>
      <c r="M129" s="119"/>
      <c r="N129" s="119"/>
      <c r="O129" s="120"/>
      <c r="P129" s="114"/>
      <c r="Q129" s="114"/>
      <c r="R129" s="114"/>
      <c r="S129" s="128"/>
      <c r="T129" s="128"/>
      <c r="U129" s="128"/>
      <c r="V129" s="132"/>
      <c r="W129" s="133"/>
      <c r="X129" s="133"/>
      <c r="Y129" s="133"/>
      <c r="Z129" s="133"/>
      <c r="AA129" s="133"/>
      <c r="AB129" s="133"/>
      <c r="AC129" s="133"/>
      <c r="AD129" s="133"/>
      <c r="AE129" s="133"/>
      <c r="AF129" s="133"/>
      <c r="AG129" s="133"/>
      <c r="AH129" s="133"/>
      <c r="AI129" s="133"/>
      <c r="AJ129" s="133"/>
      <c r="AK129" s="133"/>
      <c r="AL129" s="133"/>
      <c r="AM129" s="134"/>
      <c r="AN129" s="114"/>
      <c r="AO129" s="114"/>
      <c r="AP129" s="114"/>
      <c r="AQ129" s="114"/>
      <c r="AR129" s="114"/>
      <c r="AS129" s="114"/>
      <c r="AT129" s="114"/>
      <c r="AU129" s="62"/>
      <c r="AV129" s="63"/>
      <c r="AW129" s="64"/>
      <c r="AX129" s="62"/>
      <c r="AY129" s="62"/>
      <c r="AZ129" s="62"/>
      <c r="BA129" s="62"/>
      <c r="BB129" s="62"/>
      <c r="BC129" s="62"/>
      <c r="BD129" s="62"/>
      <c r="BE129" s="62"/>
      <c r="BF129" s="63"/>
      <c r="BG129" s="71"/>
      <c r="BH129" s="72"/>
      <c r="BI129" s="72"/>
      <c r="BJ129" s="72"/>
      <c r="BK129" s="72"/>
      <c r="BL129" s="73"/>
      <c r="BM129" s="52"/>
      <c r="BO129" s="74"/>
      <c r="BP129" s="75"/>
      <c r="BQ129" s="54"/>
      <c r="BR129" s="74"/>
      <c r="BS129" s="75"/>
      <c r="BT129" s="75"/>
      <c r="BU129" s="75"/>
      <c r="BV129" s="75"/>
      <c r="BW129" s="54"/>
      <c r="BX129" s="38"/>
      <c r="BY129" s="55"/>
      <c r="BZ129" s="55"/>
    </row>
    <row r="130" spans="1:78" s="3" customFormat="1" ht="18.649999999999999" customHeight="1" x14ac:dyDescent="0.2">
      <c r="A130" s="137">
        <f t="shared" ref="A130" si="208">A133+1</f>
        <v>14</v>
      </c>
      <c r="B130" s="138"/>
      <c r="C130" s="179">
        <v>35977</v>
      </c>
      <c r="D130" s="180"/>
      <c r="E130" s="180"/>
      <c r="F130" s="180"/>
      <c r="G130" s="165" t="s">
        <v>232</v>
      </c>
      <c r="H130" s="114"/>
      <c r="I130" s="114"/>
      <c r="J130" s="168" t="s">
        <v>233</v>
      </c>
      <c r="K130" s="169"/>
      <c r="L130" s="169"/>
      <c r="M130" s="169"/>
      <c r="N130" s="169"/>
      <c r="O130" s="170"/>
      <c r="P130" s="114">
        <v>1000</v>
      </c>
      <c r="Q130" s="114"/>
      <c r="R130" s="114"/>
      <c r="S130" s="128" t="s">
        <v>170</v>
      </c>
      <c r="T130" s="128"/>
      <c r="U130" s="128"/>
      <c r="V130" s="184" t="s">
        <v>234</v>
      </c>
      <c r="W130" s="185"/>
      <c r="X130" s="185"/>
      <c r="Y130" s="185"/>
      <c r="Z130" s="185"/>
      <c r="AA130" s="185"/>
      <c r="AB130" s="185"/>
      <c r="AC130" s="185"/>
      <c r="AD130" s="185"/>
      <c r="AE130" s="185"/>
      <c r="AF130" s="185"/>
      <c r="AG130" s="185"/>
      <c r="AH130" s="185"/>
      <c r="AI130" s="185"/>
      <c r="AJ130" s="185"/>
      <c r="AK130" s="185"/>
      <c r="AL130" s="185"/>
      <c r="AM130" s="186"/>
      <c r="AN130" s="165" t="s">
        <v>235</v>
      </c>
      <c r="AO130" s="114"/>
      <c r="AP130" s="114"/>
      <c r="AQ130" s="114"/>
      <c r="AR130" s="114"/>
      <c r="AS130" s="114"/>
      <c r="AT130" s="114"/>
      <c r="AU130" s="62" t="s">
        <v>41</v>
      </c>
      <c r="AV130" s="63"/>
      <c r="AW130" s="64"/>
      <c r="AX130" s="62"/>
      <c r="AY130" s="62"/>
      <c r="AZ130" s="62"/>
      <c r="BA130" s="62"/>
      <c r="BB130" s="62"/>
      <c r="BC130" s="62" t="s">
        <v>40</v>
      </c>
      <c r="BD130" s="62" t="s">
        <v>40</v>
      </c>
      <c r="BE130" s="62" t="s">
        <v>40</v>
      </c>
      <c r="BF130" s="63"/>
      <c r="BG130" s="65"/>
      <c r="BH130" s="66"/>
      <c r="BI130" s="66"/>
      <c r="BJ130" s="66"/>
      <c r="BK130" s="66"/>
      <c r="BL130" s="67"/>
      <c r="BM130" s="52"/>
      <c r="BO130" s="74" t="e">
        <f>IF(#REF!="●",SUM(DATEDIF($C130,$C131,"M"),1),"")</f>
        <v>#REF!</v>
      </c>
      <c r="BP130" s="75">
        <f>IF(AU130="●",SUM(DATEDIF($C130,$C131,"M"),1),"")</f>
        <v>4</v>
      </c>
      <c r="BQ130" s="54" t="str">
        <f>IF(AV130="●",SUM(DATEDIF($C130,$C131,"M"),1),"")</f>
        <v/>
      </c>
      <c r="BR130" s="74" t="str">
        <f t="shared" ref="BR130" si="209">IF(BR$38=$S130,SUM(DATEDIF($C130,$C131,"M"),1),"")</f>
        <v/>
      </c>
      <c r="BS130" s="75" t="str">
        <f t="shared" ref="BS130" si="210">IF(BS$38=$S130,SUM(DATEDIF($C130,$C131,"M"),1),"")</f>
        <v/>
      </c>
      <c r="BT130" s="75" t="str">
        <f t="shared" ref="BT130" si="211">IF(BT$38=$S130,SUM(DATEDIF($C130,$C131,"M"),1),"")</f>
        <v/>
      </c>
      <c r="BU130" s="75">
        <f t="shared" ref="BU130" si="212">IF(BU$38=$S130,SUM(DATEDIF($C130,$C131,"M"),1),"")</f>
        <v>4</v>
      </c>
      <c r="BV130" s="75" t="str">
        <f t="shared" ref="BV130" si="213">IF(BV$38=$S130,SUM(DATEDIF($C130,$C131,"M"),1),"")</f>
        <v/>
      </c>
      <c r="BW130" s="54" t="str">
        <f t="shared" ref="BW130" si="214">IF(BW$38=$S130,SUM(DATEDIF($C130,$C131,"M"),1),"")</f>
        <v/>
      </c>
      <c r="BX130" s="38"/>
      <c r="BY130" s="55">
        <f t="shared" ref="BY130" si="215">SUM(BR130:BW132)</f>
        <v>4</v>
      </c>
      <c r="BZ130" s="55" t="str">
        <f>C132</f>
        <v>&lt;4ヶ月&gt;</v>
      </c>
    </row>
    <row r="131" spans="1:78" s="3" customFormat="1" ht="18.649999999999999" customHeight="1" x14ac:dyDescent="0.2">
      <c r="A131" s="137"/>
      <c r="B131" s="138"/>
      <c r="C131" s="56">
        <v>36099</v>
      </c>
      <c r="D131" s="57"/>
      <c r="E131" s="57"/>
      <c r="F131" s="58"/>
      <c r="G131" s="114"/>
      <c r="H131" s="114"/>
      <c r="I131" s="114"/>
      <c r="J131" s="115"/>
      <c r="K131" s="116"/>
      <c r="L131" s="116"/>
      <c r="M131" s="116"/>
      <c r="N131" s="116"/>
      <c r="O131" s="117"/>
      <c r="P131" s="114"/>
      <c r="Q131" s="114"/>
      <c r="R131" s="114"/>
      <c r="S131" s="128"/>
      <c r="T131" s="128"/>
      <c r="U131" s="128"/>
      <c r="V131" s="129"/>
      <c r="W131" s="130"/>
      <c r="X131" s="130"/>
      <c r="Y131" s="130"/>
      <c r="Z131" s="130"/>
      <c r="AA131" s="130"/>
      <c r="AB131" s="130"/>
      <c r="AC131" s="130"/>
      <c r="AD131" s="130"/>
      <c r="AE131" s="130"/>
      <c r="AF131" s="130"/>
      <c r="AG131" s="130"/>
      <c r="AH131" s="130"/>
      <c r="AI131" s="130"/>
      <c r="AJ131" s="130"/>
      <c r="AK131" s="130"/>
      <c r="AL131" s="130"/>
      <c r="AM131" s="131"/>
      <c r="AN131" s="114"/>
      <c r="AO131" s="114"/>
      <c r="AP131" s="114"/>
      <c r="AQ131" s="114"/>
      <c r="AR131" s="114"/>
      <c r="AS131" s="114"/>
      <c r="AT131" s="114"/>
      <c r="AU131" s="62"/>
      <c r="AV131" s="63"/>
      <c r="AW131" s="64"/>
      <c r="AX131" s="62"/>
      <c r="AY131" s="62"/>
      <c r="AZ131" s="62"/>
      <c r="BA131" s="62"/>
      <c r="BB131" s="62"/>
      <c r="BC131" s="62"/>
      <c r="BD131" s="62"/>
      <c r="BE131" s="62"/>
      <c r="BF131" s="63"/>
      <c r="BG131" s="68"/>
      <c r="BH131" s="69"/>
      <c r="BI131" s="69"/>
      <c r="BJ131" s="69"/>
      <c r="BK131" s="69"/>
      <c r="BL131" s="70"/>
      <c r="BM131" s="52"/>
      <c r="BO131" s="74"/>
      <c r="BP131" s="75"/>
      <c r="BQ131" s="54"/>
      <c r="BR131" s="74"/>
      <c r="BS131" s="75"/>
      <c r="BT131" s="75"/>
      <c r="BU131" s="75"/>
      <c r="BV131" s="75"/>
      <c r="BW131" s="54"/>
      <c r="BX131" s="38"/>
      <c r="BY131" s="55"/>
      <c r="BZ131" s="55"/>
    </row>
    <row r="132" spans="1:78" s="3" customFormat="1" ht="25.5" customHeight="1" x14ac:dyDescent="0.2">
      <c r="A132" s="137"/>
      <c r="B132" s="138"/>
      <c r="C132" s="59" t="str">
        <f>CONCATENATE("&lt;",SUM(DATEDIF(C130,C131,"M"),1),"ヶ月&gt;")</f>
        <v>&lt;4ヶ月&gt;</v>
      </c>
      <c r="D132" s="60"/>
      <c r="E132" s="60"/>
      <c r="F132" s="61"/>
      <c r="G132" s="114"/>
      <c r="H132" s="114"/>
      <c r="I132" s="114"/>
      <c r="J132" s="118"/>
      <c r="K132" s="119"/>
      <c r="L132" s="119"/>
      <c r="M132" s="119"/>
      <c r="N132" s="119"/>
      <c r="O132" s="120"/>
      <c r="P132" s="114"/>
      <c r="Q132" s="114"/>
      <c r="R132" s="114"/>
      <c r="S132" s="128"/>
      <c r="T132" s="128"/>
      <c r="U132" s="128"/>
      <c r="V132" s="132"/>
      <c r="W132" s="133"/>
      <c r="X132" s="133"/>
      <c r="Y132" s="133"/>
      <c r="Z132" s="133"/>
      <c r="AA132" s="133"/>
      <c r="AB132" s="133"/>
      <c r="AC132" s="133"/>
      <c r="AD132" s="133"/>
      <c r="AE132" s="133"/>
      <c r="AF132" s="133"/>
      <c r="AG132" s="133"/>
      <c r="AH132" s="133"/>
      <c r="AI132" s="133"/>
      <c r="AJ132" s="133"/>
      <c r="AK132" s="133"/>
      <c r="AL132" s="133"/>
      <c r="AM132" s="134"/>
      <c r="AN132" s="114"/>
      <c r="AO132" s="114"/>
      <c r="AP132" s="114"/>
      <c r="AQ132" s="114"/>
      <c r="AR132" s="114"/>
      <c r="AS132" s="114"/>
      <c r="AT132" s="114"/>
      <c r="AU132" s="62"/>
      <c r="AV132" s="63"/>
      <c r="AW132" s="64"/>
      <c r="AX132" s="62"/>
      <c r="AY132" s="62"/>
      <c r="AZ132" s="62"/>
      <c r="BA132" s="62"/>
      <c r="BB132" s="62"/>
      <c r="BC132" s="62"/>
      <c r="BD132" s="62"/>
      <c r="BE132" s="62"/>
      <c r="BF132" s="63"/>
      <c r="BG132" s="71"/>
      <c r="BH132" s="72"/>
      <c r="BI132" s="72"/>
      <c r="BJ132" s="72"/>
      <c r="BK132" s="72"/>
      <c r="BL132" s="73"/>
      <c r="BM132" s="52"/>
      <c r="BO132" s="74"/>
      <c r="BP132" s="75"/>
      <c r="BQ132" s="54"/>
      <c r="BR132" s="74"/>
      <c r="BS132" s="75"/>
      <c r="BT132" s="75"/>
      <c r="BU132" s="75"/>
      <c r="BV132" s="75"/>
      <c r="BW132" s="54"/>
      <c r="BX132" s="38"/>
      <c r="BY132" s="55"/>
      <c r="BZ132" s="55"/>
    </row>
    <row r="133" spans="1:78" s="3" customFormat="1" ht="18.649999999999999" customHeight="1" x14ac:dyDescent="0.2">
      <c r="A133" s="137">
        <f t="shared" ref="A133" si="216">A136+1</f>
        <v>13</v>
      </c>
      <c r="B133" s="138"/>
      <c r="C133" s="179">
        <v>35796</v>
      </c>
      <c r="D133" s="180"/>
      <c r="E133" s="180"/>
      <c r="F133" s="180"/>
      <c r="G133" s="165" t="s">
        <v>236</v>
      </c>
      <c r="H133" s="114"/>
      <c r="I133" s="114"/>
      <c r="J133" s="168" t="s">
        <v>237</v>
      </c>
      <c r="K133" s="169"/>
      <c r="L133" s="169"/>
      <c r="M133" s="169"/>
      <c r="N133" s="169"/>
      <c r="O133" s="170"/>
      <c r="P133" s="114">
        <v>5</v>
      </c>
      <c r="Q133" s="114"/>
      <c r="R133" s="114"/>
      <c r="S133" s="128" t="s">
        <v>170</v>
      </c>
      <c r="T133" s="128"/>
      <c r="U133" s="128"/>
      <c r="V133" s="184" t="s">
        <v>238</v>
      </c>
      <c r="W133" s="185"/>
      <c r="X133" s="185"/>
      <c r="Y133" s="185"/>
      <c r="Z133" s="185"/>
      <c r="AA133" s="185"/>
      <c r="AB133" s="185"/>
      <c r="AC133" s="185"/>
      <c r="AD133" s="185"/>
      <c r="AE133" s="185"/>
      <c r="AF133" s="185"/>
      <c r="AG133" s="185"/>
      <c r="AH133" s="185"/>
      <c r="AI133" s="185"/>
      <c r="AJ133" s="185"/>
      <c r="AK133" s="185"/>
      <c r="AL133" s="185"/>
      <c r="AM133" s="186"/>
      <c r="AN133" s="165" t="s">
        <v>239</v>
      </c>
      <c r="AO133" s="114"/>
      <c r="AP133" s="114"/>
      <c r="AQ133" s="114"/>
      <c r="AR133" s="114"/>
      <c r="AS133" s="114"/>
      <c r="AT133" s="114"/>
      <c r="AU133" s="62" t="s">
        <v>41</v>
      </c>
      <c r="AV133" s="63"/>
      <c r="AW133" s="64"/>
      <c r="AX133" s="62"/>
      <c r="AY133" s="62"/>
      <c r="AZ133" s="62"/>
      <c r="BA133" s="62"/>
      <c r="BB133" s="62"/>
      <c r="BC133" s="62"/>
      <c r="BD133" s="62"/>
      <c r="BE133" s="62"/>
      <c r="BF133" s="63" t="s">
        <v>40</v>
      </c>
      <c r="BG133" s="65"/>
      <c r="BH133" s="66"/>
      <c r="BI133" s="66"/>
      <c r="BJ133" s="66"/>
      <c r="BK133" s="66"/>
      <c r="BL133" s="67"/>
      <c r="BM133" s="52"/>
      <c r="BO133" s="74" t="e">
        <f>IF(#REF!="●",SUM(DATEDIF($C133,$C134,"M"),1),"")</f>
        <v>#REF!</v>
      </c>
      <c r="BP133" s="75">
        <f>IF(AU133="●",SUM(DATEDIF($C133,$C134,"M"),1),"")</f>
        <v>6</v>
      </c>
      <c r="BQ133" s="54" t="str">
        <f>IF(AV133="●",SUM(DATEDIF($C133,$C134,"M"),1),"")</f>
        <v/>
      </c>
      <c r="BR133" s="74" t="str">
        <f t="shared" ref="BR133" si="217">IF(BR$38=$S133,SUM(DATEDIF($C133,$C134,"M"),1),"")</f>
        <v/>
      </c>
      <c r="BS133" s="75" t="str">
        <f t="shared" ref="BS133" si="218">IF(BS$38=$S133,SUM(DATEDIF($C133,$C134,"M"),1),"")</f>
        <v/>
      </c>
      <c r="BT133" s="75" t="str">
        <f t="shared" ref="BT133" si="219">IF(BT$38=$S133,SUM(DATEDIF($C133,$C134,"M"),1),"")</f>
        <v/>
      </c>
      <c r="BU133" s="75">
        <f t="shared" ref="BU133" si="220">IF(BU$38=$S133,SUM(DATEDIF($C133,$C134,"M"),1),"")</f>
        <v>6</v>
      </c>
      <c r="BV133" s="75" t="str">
        <f t="shared" ref="BV133" si="221">IF(BV$38=$S133,SUM(DATEDIF($C133,$C134,"M"),1),"")</f>
        <v/>
      </c>
      <c r="BW133" s="54" t="str">
        <f t="shared" ref="BW133" si="222">IF(BW$38=$S133,SUM(DATEDIF($C133,$C134,"M"),1),"")</f>
        <v/>
      </c>
      <c r="BX133" s="38"/>
      <c r="BY133" s="55">
        <f t="shared" ref="BY133" si="223">SUM(BR133:BW135)</f>
        <v>6</v>
      </c>
      <c r="BZ133" s="55" t="str">
        <f>C135</f>
        <v>&lt;6ヶ月&gt;</v>
      </c>
    </row>
    <row r="134" spans="1:78" s="3" customFormat="1" ht="18.649999999999999" customHeight="1" x14ac:dyDescent="0.2">
      <c r="A134" s="137"/>
      <c r="B134" s="138"/>
      <c r="C134" s="56">
        <v>35976</v>
      </c>
      <c r="D134" s="57"/>
      <c r="E134" s="57"/>
      <c r="F134" s="58"/>
      <c r="G134" s="114"/>
      <c r="H134" s="114"/>
      <c r="I134" s="114"/>
      <c r="J134" s="115"/>
      <c r="K134" s="116"/>
      <c r="L134" s="116"/>
      <c r="M134" s="116"/>
      <c r="N134" s="116"/>
      <c r="O134" s="117"/>
      <c r="P134" s="114"/>
      <c r="Q134" s="114"/>
      <c r="R134" s="114"/>
      <c r="S134" s="128"/>
      <c r="T134" s="128"/>
      <c r="U134" s="128"/>
      <c r="V134" s="129"/>
      <c r="W134" s="130"/>
      <c r="X134" s="130"/>
      <c r="Y134" s="130"/>
      <c r="Z134" s="130"/>
      <c r="AA134" s="130"/>
      <c r="AB134" s="130"/>
      <c r="AC134" s="130"/>
      <c r="AD134" s="130"/>
      <c r="AE134" s="130"/>
      <c r="AF134" s="130"/>
      <c r="AG134" s="130"/>
      <c r="AH134" s="130"/>
      <c r="AI134" s="130"/>
      <c r="AJ134" s="130"/>
      <c r="AK134" s="130"/>
      <c r="AL134" s="130"/>
      <c r="AM134" s="131"/>
      <c r="AN134" s="114"/>
      <c r="AO134" s="114"/>
      <c r="AP134" s="114"/>
      <c r="AQ134" s="114"/>
      <c r="AR134" s="114"/>
      <c r="AS134" s="114"/>
      <c r="AT134" s="114"/>
      <c r="AU134" s="62"/>
      <c r="AV134" s="63"/>
      <c r="AW134" s="64"/>
      <c r="AX134" s="62"/>
      <c r="AY134" s="62"/>
      <c r="AZ134" s="62"/>
      <c r="BA134" s="62"/>
      <c r="BB134" s="62"/>
      <c r="BC134" s="62"/>
      <c r="BD134" s="62"/>
      <c r="BE134" s="62"/>
      <c r="BF134" s="63"/>
      <c r="BG134" s="68"/>
      <c r="BH134" s="69"/>
      <c r="BI134" s="69"/>
      <c r="BJ134" s="69"/>
      <c r="BK134" s="69"/>
      <c r="BL134" s="70"/>
      <c r="BM134" s="52"/>
      <c r="BO134" s="74"/>
      <c r="BP134" s="75"/>
      <c r="BQ134" s="54"/>
      <c r="BR134" s="74"/>
      <c r="BS134" s="75"/>
      <c r="BT134" s="75"/>
      <c r="BU134" s="75"/>
      <c r="BV134" s="75"/>
      <c r="BW134" s="54"/>
      <c r="BX134" s="38"/>
      <c r="BY134" s="55"/>
      <c r="BZ134" s="55"/>
    </row>
    <row r="135" spans="1:78" s="3" customFormat="1" ht="82.5" customHeight="1" x14ac:dyDescent="0.2">
      <c r="A135" s="137"/>
      <c r="B135" s="138"/>
      <c r="C135" s="59" t="str">
        <f>CONCATENATE("&lt;",SUM(DATEDIF(C133,C134,"M"),1),"ヶ月&gt;")</f>
        <v>&lt;6ヶ月&gt;</v>
      </c>
      <c r="D135" s="60"/>
      <c r="E135" s="60"/>
      <c r="F135" s="61"/>
      <c r="G135" s="114"/>
      <c r="H135" s="114"/>
      <c r="I135" s="114"/>
      <c r="J135" s="118"/>
      <c r="K135" s="119"/>
      <c r="L135" s="119"/>
      <c r="M135" s="119"/>
      <c r="N135" s="119"/>
      <c r="O135" s="120"/>
      <c r="P135" s="114"/>
      <c r="Q135" s="114"/>
      <c r="R135" s="114"/>
      <c r="S135" s="128"/>
      <c r="T135" s="128"/>
      <c r="U135" s="128"/>
      <c r="V135" s="132"/>
      <c r="W135" s="133"/>
      <c r="X135" s="133"/>
      <c r="Y135" s="133"/>
      <c r="Z135" s="133"/>
      <c r="AA135" s="133"/>
      <c r="AB135" s="133"/>
      <c r="AC135" s="133"/>
      <c r="AD135" s="133"/>
      <c r="AE135" s="133"/>
      <c r="AF135" s="133"/>
      <c r="AG135" s="133"/>
      <c r="AH135" s="133"/>
      <c r="AI135" s="133"/>
      <c r="AJ135" s="133"/>
      <c r="AK135" s="133"/>
      <c r="AL135" s="133"/>
      <c r="AM135" s="134"/>
      <c r="AN135" s="114"/>
      <c r="AO135" s="114"/>
      <c r="AP135" s="114"/>
      <c r="AQ135" s="114"/>
      <c r="AR135" s="114"/>
      <c r="AS135" s="114"/>
      <c r="AT135" s="114"/>
      <c r="AU135" s="62"/>
      <c r="AV135" s="63"/>
      <c r="AW135" s="64"/>
      <c r="AX135" s="62"/>
      <c r="AY135" s="62"/>
      <c r="AZ135" s="62"/>
      <c r="BA135" s="62"/>
      <c r="BB135" s="62"/>
      <c r="BC135" s="62"/>
      <c r="BD135" s="62"/>
      <c r="BE135" s="62"/>
      <c r="BF135" s="63"/>
      <c r="BG135" s="71"/>
      <c r="BH135" s="72"/>
      <c r="BI135" s="72"/>
      <c r="BJ135" s="72"/>
      <c r="BK135" s="72"/>
      <c r="BL135" s="73"/>
      <c r="BM135" s="52"/>
      <c r="BO135" s="74"/>
      <c r="BP135" s="75"/>
      <c r="BQ135" s="54"/>
      <c r="BR135" s="74"/>
      <c r="BS135" s="75"/>
      <c r="BT135" s="75"/>
      <c r="BU135" s="75"/>
      <c r="BV135" s="75"/>
      <c r="BW135" s="54"/>
      <c r="BX135" s="38"/>
      <c r="BY135" s="55"/>
      <c r="BZ135" s="55"/>
    </row>
    <row r="136" spans="1:78" s="3" customFormat="1" ht="18.649999999999999" customHeight="1" x14ac:dyDescent="0.2">
      <c r="A136" s="137">
        <f t="shared" ref="A136" si="224">A139+1</f>
        <v>12</v>
      </c>
      <c r="B136" s="138"/>
      <c r="C136" s="179">
        <v>35612</v>
      </c>
      <c r="D136" s="180"/>
      <c r="E136" s="180"/>
      <c r="F136" s="180"/>
      <c r="G136" s="165" t="s">
        <v>153</v>
      </c>
      <c r="H136" s="114"/>
      <c r="I136" s="114"/>
      <c r="J136" s="168" t="s">
        <v>240</v>
      </c>
      <c r="K136" s="169"/>
      <c r="L136" s="169"/>
      <c r="M136" s="169"/>
      <c r="N136" s="169"/>
      <c r="O136" s="170"/>
      <c r="P136" s="114">
        <v>10</v>
      </c>
      <c r="Q136" s="114"/>
      <c r="R136" s="114"/>
      <c r="S136" s="128" t="s">
        <v>127</v>
      </c>
      <c r="T136" s="128"/>
      <c r="U136" s="128"/>
      <c r="V136" s="184" t="s">
        <v>241</v>
      </c>
      <c r="W136" s="185"/>
      <c r="X136" s="185"/>
      <c r="Y136" s="185"/>
      <c r="Z136" s="185"/>
      <c r="AA136" s="185"/>
      <c r="AB136" s="185"/>
      <c r="AC136" s="185"/>
      <c r="AD136" s="185"/>
      <c r="AE136" s="185"/>
      <c r="AF136" s="185"/>
      <c r="AG136" s="185"/>
      <c r="AH136" s="185"/>
      <c r="AI136" s="185"/>
      <c r="AJ136" s="185"/>
      <c r="AK136" s="185"/>
      <c r="AL136" s="185"/>
      <c r="AM136" s="186"/>
      <c r="AN136" s="165" t="s">
        <v>242</v>
      </c>
      <c r="AO136" s="114"/>
      <c r="AP136" s="114"/>
      <c r="AQ136" s="114"/>
      <c r="AR136" s="114"/>
      <c r="AS136" s="114"/>
      <c r="AT136" s="114"/>
      <c r="AU136" s="62" t="s">
        <v>41</v>
      </c>
      <c r="AV136" s="63"/>
      <c r="AW136" s="160" t="s">
        <v>40</v>
      </c>
      <c r="AX136" s="62"/>
      <c r="AY136" s="62"/>
      <c r="AZ136" s="62"/>
      <c r="BA136" s="62"/>
      <c r="BB136" s="62"/>
      <c r="BC136" s="62"/>
      <c r="BD136" s="62"/>
      <c r="BE136" s="62"/>
      <c r="BF136" s="63"/>
      <c r="BG136" s="65"/>
      <c r="BH136" s="66"/>
      <c r="BI136" s="66"/>
      <c r="BJ136" s="66"/>
      <c r="BK136" s="66"/>
      <c r="BL136" s="67"/>
      <c r="BM136" s="52"/>
      <c r="BO136" s="74" t="e">
        <f>IF(#REF!="●",SUM(DATEDIF($C136,$C137,"M"),1),"")</f>
        <v>#REF!</v>
      </c>
      <c r="BP136" s="75">
        <f>IF(AU136="●",SUM(DATEDIF($C136,$C137,"M"),1),"")</f>
        <v>6</v>
      </c>
      <c r="BQ136" s="54" t="str">
        <f>IF(AV136="●",SUM(DATEDIF($C136,$C137,"M"),1),"")</f>
        <v/>
      </c>
      <c r="BR136" s="74">
        <f t="shared" ref="BR136" si="225">IF(BR$38=$S136,SUM(DATEDIF($C136,$C137,"M"),1),"")</f>
        <v>6</v>
      </c>
      <c r="BS136" s="75" t="str">
        <f t="shared" ref="BS136" si="226">IF(BS$38=$S136,SUM(DATEDIF($C136,$C137,"M"),1),"")</f>
        <v/>
      </c>
      <c r="BT136" s="75" t="str">
        <f t="shared" ref="BT136" si="227">IF(BT$38=$S136,SUM(DATEDIF($C136,$C137,"M"),1),"")</f>
        <v/>
      </c>
      <c r="BU136" s="75" t="str">
        <f t="shared" ref="BU136" si="228">IF(BU$38=$S136,SUM(DATEDIF($C136,$C137,"M"),1),"")</f>
        <v/>
      </c>
      <c r="BV136" s="75" t="str">
        <f t="shared" ref="BV136" si="229">IF(BV$38=$S136,SUM(DATEDIF($C136,$C137,"M"),1),"")</f>
        <v/>
      </c>
      <c r="BW136" s="54" t="str">
        <f t="shared" ref="BW136" si="230">IF(BW$38=$S136,SUM(DATEDIF($C136,$C137,"M"),1),"")</f>
        <v/>
      </c>
      <c r="BX136" s="38"/>
      <c r="BY136" s="55">
        <f t="shared" ref="BY136" si="231">SUM(BR136:BW138)</f>
        <v>6</v>
      </c>
      <c r="BZ136" s="55" t="str">
        <f>C138</f>
        <v>&lt;6ヶ月&gt;</v>
      </c>
    </row>
    <row r="137" spans="1:78" s="3" customFormat="1" ht="18.649999999999999" customHeight="1" x14ac:dyDescent="0.2">
      <c r="A137" s="137"/>
      <c r="B137" s="138"/>
      <c r="C137" s="56">
        <v>35795</v>
      </c>
      <c r="D137" s="57"/>
      <c r="E137" s="57"/>
      <c r="F137" s="58"/>
      <c r="G137" s="114"/>
      <c r="H137" s="114"/>
      <c r="I137" s="114"/>
      <c r="J137" s="115"/>
      <c r="K137" s="116"/>
      <c r="L137" s="116"/>
      <c r="M137" s="116"/>
      <c r="N137" s="116"/>
      <c r="O137" s="117"/>
      <c r="P137" s="114"/>
      <c r="Q137" s="114"/>
      <c r="R137" s="114"/>
      <c r="S137" s="128"/>
      <c r="T137" s="128"/>
      <c r="U137" s="128"/>
      <c r="V137" s="129"/>
      <c r="W137" s="130"/>
      <c r="X137" s="130"/>
      <c r="Y137" s="130"/>
      <c r="Z137" s="130"/>
      <c r="AA137" s="130"/>
      <c r="AB137" s="130"/>
      <c r="AC137" s="130"/>
      <c r="AD137" s="130"/>
      <c r="AE137" s="130"/>
      <c r="AF137" s="130"/>
      <c r="AG137" s="130"/>
      <c r="AH137" s="130"/>
      <c r="AI137" s="130"/>
      <c r="AJ137" s="130"/>
      <c r="AK137" s="130"/>
      <c r="AL137" s="130"/>
      <c r="AM137" s="131"/>
      <c r="AN137" s="114"/>
      <c r="AO137" s="114"/>
      <c r="AP137" s="114"/>
      <c r="AQ137" s="114"/>
      <c r="AR137" s="114"/>
      <c r="AS137" s="114"/>
      <c r="AT137" s="114"/>
      <c r="AU137" s="62"/>
      <c r="AV137" s="63"/>
      <c r="AW137" s="188"/>
      <c r="AX137" s="62"/>
      <c r="AY137" s="62"/>
      <c r="AZ137" s="62"/>
      <c r="BA137" s="62"/>
      <c r="BB137" s="62"/>
      <c r="BC137" s="62"/>
      <c r="BD137" s="62"/>
      <c r="BE137" s="62"/>
      <c r="BF137" s="63"/>
      <c r="BG137" s="68"/>
      <c r="BH137" s="69"/>
      <c r="BI137" s="69"/>
      <c r="BJ137" s="69"/>
      <c r="BK137" s="69"/>
      <c r="BL137" s="70"/>
      <c r="BM137" s="52"/>
      <c r="BO137" s="74"/>
      <c r="BP137" s="75"/>
      <c r="BQ137" s="54"/>
      <c r="BR137" s="74"/>
      <c r="BS137" s="75"/>
      <c r="BT137" s="75"/>
      <c r="BU137" s="75"/>
      <c r="BV137" s="75"/>
      <c r="BW137" s="54"/>
      <c r="BX137" s="38"/>
      <c r="BY137" s="55"/>
      <c r="BZ137" s="55"/>
    </row>
    <row r="138" spans="1:78" s="3" customFormat="1" ht="44.25" customHeight="1" x14ac:dyDescent="0.2">
      <c r="A138" s="137"/>
      <c r="B138" s="138"/>
      <c r="C138" s="59" t="str">
        <f>CONCATENATE("&lt;",SUM(DATEDIF(C136,C137,"M"),1),"ヶ月&gt;")</f>
        <v>&lt;6ヶ月&gt;</v>
      </c>
      <c r="D138" s="60"/>
      <c r="E138" s="60"/>
      <c r="F138" s="61"/>
      <c r="G138" s="114"/>
      <c r="H138" s="114"/>
      <c r="I138" s="114"/>
      <c r="J138" s="118"/>
      <c r="K138" s="119"/>
      <c r="L138" s="119"/>
      <c r="M138" s="119"/>
      <c r="N138" s="119"/>
      <c r="O138" s="120"/>
      <c r="P138" s="114"/>
      <c r="Q138" s="114"/>
      <c r="R138" s="114"/>
      <c r="S138" s="128"/>
      <c r="T138" s="128"/>
      <c r="U138" s="128"/>
      <c r="V138" s="132"/>
      <c r="W138" s="133"/>
      <c r="X138" s="133"/>
      <c r="Y138" s="133"/>
      <c r="Z138" s="133"/>
      <c r="AA138" s="133"/>
      <c r="AB138" s="133"/>
      <c r="AC138" s="133"/>
      <c r="AD138" s="133"/>
      <c r="AE138" s="133"/>
      <c r="AF138" s="133"/>
      <c r="AG138" s="133"/>
      <c r="AH138" s="133"/>
      <c r="AI138" s="133"/>
      <c r="AJ138" s="133"/>
      <c r="AK138" s="133"/>
      <c r="AL138" s="133"/>
      <c r="AM138" s="134"/>
      <c r="AN138" s="114"/>
      <c r="AO138" s="114"/>
      <c r="AP138" s="114"/>
      <c r="AQ138" s="114"/>
      <c r="AR138" s="114"/>
      <c r="AS138" s="114"/>
      <c r="AT138" s="114"/>
      <c r="AU138" s="62"/>
      <c r="AV138" s="63"/>
      <c r="AW138" s="77"/>
      <c r="AX138" s="62"/>
      <c r="AY138" s="62"/>
      <c r="AZ138" s="62"/>
      <c r="BA138" s="62"/>
      <c r="BB138" s="62"/>
      <c r="BC138" s="62"/>
      <c r="BD138" s="62"/>
      <c r="BE138" s="62"/>
      <c r="BF138" s="63"/>
      <c r="BG138" s="71"/>
      <c r="BH138" s="72"/>
      <c r="BI138" s="72"/>
      <c r="BJ138" s="72"/>
      <c r="BK138" s="72"/>
      <c r="BL138" s="73"/>
      <c r="BM138" s="52"/>
      <c r="BO138" s="74"/>
      <c r="BP138" s="75"/>
      <c r="BQ138" s="54"/>
      <c r="BR138" s="74"/>
      <c r="BS138" s="75"/>
      <c r="BT138" s="75"/>
      <c r="BU138" s="75"/>
      <c r="BV138" s="75"/>
      <c r="BW138" s="54"/>
      <c r="BX138" s="38"/>
      <c r="BY138" s="55"/>
      <c r="BZ138" s="55"/>
    </row>
    <row r="139" spans="1:78" s="3" customFormat="1" ht="18.649999999999999" customHeight="1" x14ac:dyDescent="0.2">
      <c r="A139" s="104">
        <f t="shared" ref="A139" si="232">A142+1</f>
        <v>11</v>
      </c>
      <c r="B139" s="162"/>
      <c r="C139" s="179">
        <v>35521</v>
      </c>
      <c r="D139" s="180"/>
      <c r="E139" s="180"/>
      <c r="F139" s="180"/>
      <c r="G139" s="165" t="s">
        <v>63</v>
      </c>
      <c r="H139" s="114"/>
      <c r="I139" s="114"/>
      <c r="J139" s="168" t="s">
        <v>243</v>
      </c>
      <c r="K139" s="169"/>
      <c r="L139" s="169"/>
      <c r="M139" s="169"/>
      <c r="N139" s="169"/>
      <c r="O139" s="170"/>
      <c r="P139" s="114">
        <v>50</v>
      </c>
      <c r="Q139" s="114"/>
      <c r="R139" s="114"/>
      <c r="S139" s="128" t="s">
        <v>30</v>
      </c>
      <c r="T139" s="128"/>
      <c r="U139" s="128"/>
      <c r="V139" s="184" t="s">
        <v>244</v>
      </c>
      <c r="W139" s="185"/>
      <c r="X139" s="185"/>
      <c r="Y139" s="185"/>
      <c r="Z139" s="185"/>
      <c r="AA139" s="185"/>
      <c r="AB139" s="185"/>
      <c r="AC139" s="185"/>
      <c r="AD139" s="185"/>
      <c r="AE139" s="185"/>
      <c r="AF139" s="185"/>
      <c r="AG139" s="185"/>
      <c r="AH139" s="185"/>
      <c r="AI139" s="185"/>
      <c r="AJ139" s="185"/>
      <c r="AK139" s="185"/>
      <c r="AL139" s="185"/>
      <c r="AM139" s="186"/>
      <c r="AN139" s="165" t="s">
        <v>245</v>
      </c>
      <c r="AO139" s="114"/>
      <c r="AP139" s="114"/>
      <c r="AQ139" s="114"/>
      <c r="AR139" s="114"/>
      <c r="AS139" s="114"/>
      <c r="AT139" s="114"/>
      <c r="AU139" s="62"/>
      <c r="AV139" s="63" t="s">
        <v>41</v>
      </c>
      <c r="AW139" s="64"/>
      <c r="AX139" s="62"/>
      <c r="AY139" s="62"/>
      <c r="AZ139" s="62"/>
      <c r="BA139" s="62"/>
      <c r="BB139" s="62" t="s">
        <v>40</v>
      </c>
      <c r="BC139" s="62" t="s">
        <v>40</v>
      </c>
      <c r="BD139" s="62"/>
      <c r="BE139" s="62"/>
      <c r="BF139" s="63"/>
      <c r="BG139" s="65"/>
      <c r="BH139" s="66"/>
      <c r="BI139" s="66"/>
      <c r="BJ139" s="66"/>
      <c r="BK139" s="66"/>
      <c r="BL139" s="67"/>
      <c r="BM139" s="52"/>
      <c r="BO139" s="74" t="e">
        <f>IF(#REF!="●",SUM(DATEDIF($C139,$C140,"M"),1),"")</f>
        <v>#REF!</v>
      </c>
      <c r="BP139" s="75" t="str">
        <f>IF(AU139="●",SUM(DATEDIF($C139,$C140,"M"),1),"")</f>
        <v/>
      </c>
      <c r="BQ139" s="54">
        <f>IF(AV139="●",SUM(DATEDIF($C139,$C140,"M"),1),"")</f>
        <v>4</v>
      </c>
      <c r="BR139" s="74" t="str">
        <f t="shared" ref="BR139" si="233">IF(BR$38=$S139,SUM(DATEDIF($C139,$C140,"M"),1),"")</f>
        <v/>
      </c>
      <c r="BS139" s="75" t="str">
        <f t="shared" ref="BS139" si="234">IF(BS$38=$S139,SUM(DATEDIF($C139,$C140,"M"),1),"")</f>
        <v/>
      </c>
      <c r="BT139" s="75" t="str">
        <f t="shared" ref="BT139" si="235">IF(BT$38=$S139,SUM(DATEDIF($C139,$C140,"M"),1),"")</f>
        <v/>
      </c>
      <c r="BU139" s="75" t="str">
        <f t="shared" ref="BU139" si="236">IF(BU$38=$S139,SUM(DATEDIF($C139,$C140,"M"),1),"")</f>
        <v/>
      </c>
      <c r="BV139" s="75" t="str">
        <f t="shared" ref="BV139" si="237">IF(BV$38=$S139,SUM(DATEDIF($C139,$C140,"M"),1),"")</f>
        <v/>
      </c>
      <c r="BW139" s="54">
        <f t="shared" ref="BW139" si="238">IF(BW$38=$S139,SUM(DATEDIF($C139,$C140,"M"),1),"")</f>
        <v>4</v>
      </c>
      <c r="BX139" s="38"/>
      <c r="BY139" s="55">
        <f t="shared" ref="BY139" si="239">SUM(BR139:BW141)</f>
        <v>4</v>
      </c>
      <c r="BZ139" s="55" t="str">
        <f>C141</f>
        <v>&lt;4ヶ月&gt;</v>
      </c>
    </row>
    <row r="140" spans="1:78" s="3" customFormat="1" ht="18.649999999999999" customHeight="1" x14ac:dyDescent="0.2">
      <c r="A140" s="106"/>
      <c r="B140" s="163"/>
      <c r="C140" s="56">
        <v>35642</v>
      </c>
      <c r="D140" s="57"/>
      <c r="E140" s="57"/>
      <c r="F140" s="58"/>
      <c r="G140" s="114"/>
      <c r="H140" s="114"/>
      <c r="I140" s="114"/>
      <c r="J140" s="115"/>
      <c r="K140" s="116"/>
      <c r="L140" s="116"/>
      <c r="M140" s="116"/>
      <c r="N140" s="116"/>
      <c r="O140" s="117"/>
      <c r="P140" s="114"/>
      <c r="Q140" s="114"/>
      <c r="R140" s="114"/>
      <c r="S140" s="128"/>
      <c r="T140" s="128"/>
      <c r="U140" s="128"/>
      <c r="V140" s="129"/>
      <c r="W140" s="130"/>
      <c r="X140" s="130"/>
      <c r="Y140" s="130"/>
      <c r="Z140" s="130"/>
      <c r="AA140" s="130"/>
      <c r="AB140" s="130"/>
      <c r="AC140" s="130"/>
      <c r="AD140" s="130"/>
      <c r="AE140" s="130"/>
      <c r="AF140" s="130"/>
      <c r="AG140" s="130"/>
      <c r="AH140" s="130"/>
      <c r="AI140" s="130"/>
      <c r="AJ140" s="130"/>
      <c r="AK140" s="130"/>
      <c r="AL140" s="130"/>
      <c r="AM140" s="131"/>
      <c r="AN140" s="114"/>
      <c r="AO140" s="114"/>
      <c r="AP140" s="114"/>
      <c r="AQ140" s="114"/>
      <c r="AR140" s="114"/>
      <c r="AS140" s="114"/>
      <c r="AT140" s="114"/>
      <c r="AU140" s="62"/>
      <c r="AV140" s="63"/>
      <c r="AW140" s="64"/>
      <c r="AX140" s="62"/>
      <c r="AY140" s="62"/>
      <c r="AZ140" s="62"/>
      <c r="BA140" s="62"/>
      <c r="BB140" s="62"/>
      <c r="BC140" s="62"/>
      <c r="BD140" s="62"/>
      <c r="BE140" s="62"/>
      <c r="BF140" s="63"/>
      <c r="BG140" s="68"/>
      <c r="BH140" s="69"/>
      <c r="BI140" s="69"/>
      <c r="BJ140" s="69"/>
      <c r="BK140" s="69"/>
      <c r="BL140" s="70"/>
      <c r="BM140" s="52"/>
      <c r="BO140" s="74"/>
      <c r="BP140" s="75"/>
      <c r="BQ140" s="54"/>
      <c r="BR140" s="74"/>
      <c r="BS140" s="75"/>
      <c r="BT140" s="75"/>
      <c r="BU140" s="75"/>
      <c r="BV140" s="75"/>
      <c r="BW140" s="54"/>
      <c r="BX140" s="38"/>
      <c r="BY140" s="55"/>
      <c r="BZ140" s="55"/>
    </row>
    <row r="141" spans="1:78" s="3" customFormat="1" ht="30.75" customHeight="1" x14ac:dyDescent="0.2">
      <c r="A141" s="108"/>
      <c r="B141" s="164"/>
      <c r="C141" s="59" t="str">
        <f>CONCATENATE("&lt;",SUM(DATEDIF(C139,C140,"M"),1),"ヶ月&gt;")</f>
        <v>&lt;4ヶ月&gt;</v>
      </c>
      <c r="D141" s="60"/>
      <c r="E141" s="60"/>
      <c r="F141" s="61"/>
      <c r="G141" s="114"/>
      <c r="H141" s="114"/>
      <c r="I141" s="114"/>
      <c r="J141" s="118"/>
      <c r="K141" s="119"/>
      <c r="L141" s="119"/>
      <c r="M141" s="119"/>
      <c r="N141" s="119"/>
      <c r="O141" s="120"/>
      <c r="P141" s="114"/>
      <c r="Q141" s="114"/>
      <c r="R141" s="114"/>
      <c r="S141" s="128"/>
      <c r="T141" s="128"/>
      <c r="U141" s="128"/>
      <c r="V141" s="132"/>
      <c r="W141" s="133"/>
      <c r="X141" s="133"/>
      <c r="Y141" s="133"/>
      <c r="Z141" s="133"/>
      <c r="AA141" s="133"/>
      <c r="AB141" s="133"/>
      <c r="AC141" s="133"/>
      <c r="AD141" s="133"/>
      <c r="AE141" s="133"/>
      <c r="AF141" s="133"/>
      <c r="AG141" s="133"/>
      <c r="AH141" s="133"/>
      <c r="AI141" s="133"/>
      <c r="AJ141" s="133"/>
      <c r="AK141" s="133"/>
      <c r="AL141" s="133"/>
      <c r="AM141" s="134"/>
      <c r="AN141" s="114"/>
      <c r="AO141" s="114"/>
      <c r="AP141" s="114"/>
      <c r="AQ141" s="114"/>
      <c r="AR141" s="114"/>
      <c r="AS141" s="114"/>
      <c r="AT141" s="114"/>
      <c r="AU141" s="62"/>
      <c r="AV141" s="63"/>
      <c r="AW141" s="64"/>
      <c r="AX141" s="62"/>
      <c r="AY141" s="62"/>
      <c r="AZ141" s="62"/>
      <c r="BA141" s="62"/>
      <c r="BB141" s="62"/>
      <c r="BC141" s="62"/>
      <c r="BD141" s="62"/>
      <c r="BE141" s="62"/>
      <c r="BF141" s="63"/>
      <c r="BG141" s="71"/>
      <c r="BH141" s="72"/>
      <c r="BI141" s="72"/>
      <c r="BJ141" s="72"/>
      <c r="BK141" s="72"/>
      <c r="BL141" s="73"/>
      <c r="BM141" s="52"/>
      <c r="BO141" s="74"/>
      <c r="BP141" s="75"/>
      <c r="BQ141" s="54"/>
      <c r="BR141" s="74"/>
      <c r="BS141" s="75"/>
      <c r="BT141" s="75"/>
      <c r="BU141" s="75"/>
      <c r="BV141" s="75"/>
      <c r="BW141" s="54"/>
      <c r="BX141" s="38"/>
      <c r="BY141" s="55"/>
      <c r="BZ141" s="55"/>
    </row>
    <row r="142" spans="1:78" s="3" customFormat="1" ht="18.649999999999999" customHeight="1" x14ac:dyDescent="0.2">
      <c r="A142" s="104">
        <f t="shared" ref="A142" si="240">A145+1</f>
        <v>10</v>
      </c>
      <c r="B142" s="162"/>
      <c r="C142" s="179">
        <v>35431</v>
      </c>
      <c r="D142" s="180"/>
      <c r="E142" s="180"/>
      <c r="F142" s="180"/>
      <c r="G142" s="165" t="s">
        <v>246</v>
      </c>
      <c r="H142" s="114"/>
      <c r="I142" s="114"/>
      <c r="J142" s="168" t="s">
        <v>247</v>
      </c>
      <c r="K142" s="169"/>
      <c r="L142" s="169"/>
      <c r="M142" s="169"/>
      <c r="N142" s="169"/>
      <c r="O142" s="170"/>
      <c r="P142" s="114">
        <v>50</v>
      </c>
      <c r="Q142" s="114"/>
      <c r="R142" s="114"/>
      <c r="S142" s="128" t="s">
        <v>30</v>
      </c>
      <c r="T142" s="128"/>
      <c r="U142" s="128"/>
      <c r="V142" s="184" t="s">
        <v>248</v>
      </c>
      <c r="W142" s="185"/>
      <c r="X142" s="185"/>
      <c r="Y142" s="185"/>
      <c r="Z142" s="185"/>
      <c r="AA142" s="185"/>
      <c r="AB142" s="185"/>
      <c r="AC142" s="185"/>
      <c r="AD142" s="185"/>
      <c r="AE142" s="185"/>
      <c r="AF142" s="185"/>
      <c r="AG142" s="185"/>
      <c r="AH142" s="185"/>
      <c r="AI142" s="185"/>
      <c r="AJ142" s="185"/>
      <c r="AK142" s="185"/>
      <c r="AL142" s="185"/>
      <c r="AM142" s="186"/>
      <c r="AN142" s="165" t="s">
        <v>249</v>
      </c>
      <c r="AO142" s="114"/>
      <c r="AP142" s="114"/>
      <c r="AQ142" s="114"/>
      <c r="AR142" s="114"/>
      <c r="AS142" s="114"/>
      <c r="AT142" s="114"/>
      <c r="AU142" s="62"/>
      <c r="AV142" s="63" t="s">
        <v>41</v>
      </c>
      <c r="AW142" s="64"/>
      <c r="AX142" s="62"/>
      <c r="AY142" s="62"/>
      <c r="AZ142" s="62"/>
      <c r="BA142" s="62" t="s">
        <v>40</v>
      </c>
      <c r="BB142" s="62" t="s">
        <v>40</v>
      </c>
      <c r="BC142" s="62" t="s">
        <v>40</v>
      </c>
      <c r="BD142" s="62"/>
      <c r="BE142" s="62"/>
      <c r="BF142" s="63"/>
      <c r="BG142" s="65"/>
      <c r="BH142" s="66"/>
      <c r="BI142" s="66"/>
      <c r="BJ142" s="66"/>
      <c r="BK142" s="66"/>
      <c r="BL142" s="67"/>
      <c r="BM142" s="52"/>
      <c r="BO142" s="74" t="e">
        <f>IF(#REF!="●",SUM(DATEDIF($C142,$C143,"M"),1),"")</f>
        <v>#REF!</v>
      </c>
      <c r="BP142" s="75" t="str">
        <f>IF(AU142="●",SUM(DATEDIF($C142,$C143,"M"),1),"")</f>
        <v/>
      </c>
      <c r="BQ142" s="54">
        <f>IF(AV142="●",SUM(DATEDIF($C142,$C143,"M"),1),"")</f>
        <v>3</v>
      </c>
      <c r="BR142" s="74" t="str">
        <f t="shared" ref="BR142" si="241">IF(BR$38=$S142,SUM(DATEDIF($C142,$C143,"M"),1),"")</f>
        <v/>
      </c>
      <c r="BS142" s="75" t="str">
        <f t="shared" ref="BS142" si="242">IF(BS$38=$S142,SUM(DATEDIF($C142,$C143,"M"),1),"")</f>
        <v/>
      </c>
      <c r="BT142" s="75" t="str">
        <f t="shared" ref="BT142" si="243">IF(BT$38=$S142,SUM(DATEDIF($C142,$C143,"M"),1),"")</f>
        <v/>
      </c>
      <c r="BU142" s="75" t="str">
        <f t="shared" ref="BU142" si="244">IF(BU$38=$S142,SUM(DATEDIF($C142,$C143,"M"),1),"")</f>
        <v/>
      </c>
      <c r="BV142" s="75" t="str">
        <f t="shared" ref="BV142" si="245">IF(BV$38=$S142,SUM(DATEDIF($C142,$C143,"M"),1),"")</f>
        <v/>
      </c>
      <c r="BW142" s="54">
        <f t="shared" ref="BW142" si="246">IF(BW$38=$S142,SUM(DATEDIF($C142,$C143,"M"),1),"")</f>
        <v>3</v>
      </c>
      <c r="BX142" s="38"/>
      <c r="BY142" s="55">
        <f t="shared" ref="BY142" si="247">SUM(BR142:BW144)</f>
        <v>3</v>
      </c>
      <c r="BZ142" s="55" t="str">
        <f>C144</f>
        <v>&lt;3ヶ月&gt;</v>
      </c>
    </row>
    <row r="143" spans="1:78" s="3" customFormat="1" ht="18.649999999999999" customHeight="1" x14ac:dyDescent="0.2">
      <c r="A143" s="106"/>
      <c r="B143" s="163"/>
      <c r="C143" s="56">
        <v>35520</v>
      </c>
      <c r="D143" s="57"/>
      <c r="E143" s="57"/>
      <c r="F143" s="58"/>
      <c r="G143" s="114"/>
      <c r="H143" s="114"/>
      <c r="I143" s="114"/>
      <c r="J143" s="115"/>
      <c r="K143" s="116"/>
      <c r="L143" s="116"/>
      <c r="M143" s="116"/>
      <c r="N143" s="116"/>
      <c r="O143" s="117"/>
      <c r="P143" s="114"/>
      <c r="Q143" s="114"/>
      <c r="R143" s="114"/>
      <c r="S143" s="128"/>
      <c r="T143" s="128"/>
      <c r="U143" s="128"/>
      <c r="V143" s="129"/>
      <c r="W143" s="130"/>
      <c r="X143" s="130"/>
      <c r="Y143" s="130"/>
      <c r="Z143" s="130"/>
      <c r="AA143" s="130"/>
      <c r="AB143" s="130"/>
      <c r="AC143" s="130"/>
      <c r="AD143" s="130"/>
      <c r="AE143" s="130"/>
      <c r="AF143" s="130"/>
      <c r="AG143" s="130"/>
      <c r="AH143" s="130"/>
      <c r="AI143" s="130"/>
      <c r="AJ143" s="130"/>
      <c r="AK143" s="130"/>
      <c r="AL143" s="130"/>
      <c r="AM143" s="131"/>
      <c r="AN143" s="114"/>
      <c r="AO143" s="114"/>
      <c r="AP143" s="114"/>
      <c r="AQ143" s="114"/>
      <c r="AR143" s="114"/>
      <c r="AS143" s="114"/>
      <c r="AT143" s="114"/>
      <c r="AU143" s="62"/>
      <c r="AV143" s="63"/>
      <c r="AW143" s="64"/>
      <c r="AX143" s="62"/>
      <c r="AY143" s="62"/>
      <c r="AZ143" s="62"/>
      <c r="BA143" s="62"/>
      <c r="BB143" s="62"/>
      <c r="BC143" s="62"/>
      <c r="BD143" s="62"/>
      <c r="BE143" s="62"/>
      <c r="BF143" s="63"/>
      <c r="BG143" s="68"/>
      <c r="BH143" s="69"/>
      <c r="BI143" s="69"/>
      <c r="BJ143" s="69"/>
      <c r="BK143" s="69"/>
      <c r="BL143" s="70"/>
      <c r="BM143" s="52"/>
      <c r="BO143" s="74"/>
      <c r="BP143" s="75"/>
      <c r="BQ143" s="54"/>
      <c r="BR143" s="74"/>
      <c r="BS143" s="75"/>
      <c r="BT143" s="75"/>
      <c r="BU143" s="75"/>
      <c r="BV143" s="75"/>
      <c r="BW143" s="54"/>
      <c r="BX143" s="38"/>
      <c r="BY143" s="55"/>
      <c r="BZ143" s="55"/>
    </row>
    <row r="144" spans="1:78" s="3" customFormat="1" ht="22.5" customHeight="1" x14ac:dyDescent="0.2">
      <c r="A144" s="108"/>
      <c r="B144" s="164"/>
      <c r="C144" s="59" t="str">
        <f>CONCATENATE("&lt;",SUM(DATEDIF(C142,C143,"M"),1),"ヶ月&gt;")</f>
        <v>&lt;3ヶ月&gt;</v>
      </c>
      <c r="D144" s="60"/>
      <c r="E144" s="60"/>
      <c r="F144" s="61"/>
      <c r="G144" s="114"/>
      <c r="H144" s="114"/>
      <c r="I144" s="114"/>
      <c r="J144" s="118"/>
      <c r="K144" s="119"/>
      <c r="L144" s="119"/>
      <c r="M144" s="119"/>
      <c r="N144" s="119"/>
      <c r="O144" s="120"/>
      <c r="P144" s="114"/>
      <c r="Q144" s="114"/>
      <c r="R144" s="114"/>
      <c r="S144" s="128"/>
      <c r="T144" s="128"/>
      <c r="U144" s="128"/>
      <c r="V144" s="132"/>
      <c r="W144" s="133"/>
      <c r="X144" s="133"/>
      <c r="Y144" s="133"/>
      <c r="Z144" s="133"/>
      <c r="AA144" s="133"/>
      <c r="AB144" s="133"/>
      <c r="AC144" s="133"/>
      <c r="AD144" s="133"/>
      <c r="AE144" s="133"/>
      <c r="AF144" s="133"/>
      <c r="AG144" s="133"/>
      <c r="AH144" s="133"/>
      <c r="AI144" s="133"/>
      <c r="AJ144" s="133"/>
      <c r="AK144" s="133"/>
      <c r="AL144" s="133"/>
      <c r="AM144" s="134"/>
      <c r="AN144" s="114"/>
      <c r="AO144" s="114"/>
      <c r="AP144" s="114"/>
      <c r="AQ144" s="114"/>
      <c r="AR144" s="114"/>
      <c r="AS144" s="114"/>
      <c r="AT144" s="114"/>
      <c r="AU144" s="62"/>
      <c r="AV144" s="63"/>
      <c r="AW144" s="64"/>
      <c r="AX144" s="62"/>
      <c r="AY144" s="62"/>
      <c r="AZ144" s="62"/>
      <c r="BA144" s="62"/>
      <c r="BB144" s="62"/>
      <c r="BC144" s="62"/>
      <c r="BD144" s="62"/>
      <c r="BE144" s="62"/>
      <c r="BF144" s="63"/>
      <c r="BG144" s="71"/>
      <c r="BH144" s="72"/>
      <c r="BI144" s="72"/>
      <c r="BJ144" s="72"/>
      <c r="BK144" s="72"/>
      <c r="BL144" s="73"/>
      <c r="BM144" s="52"/>
      <c r="BO144" s="74"/>
      <c r="BP144" s="75"/>
      <c r="BQ144" s="54"/>
      <c r="BR144" s="74"/>
      <c r="BS144" s="75"/>
      <c r="BT144" s="75"/>
      <c r="BU144" s="75"/>
      <c r="BV144" s="75"/>
      <c r="BW144" s="54"/>
      <c r="BX144" s="38"/>
      <c r="BY144" s="55"/>
      <c r="BZ144" s="55"/>
    </row>
    <row r="145" spans="1:78" s="3" customFormat="1" ht="18.649999999999999" customHeight="1" x14ac:dyDescent="0.2">
      <c r="A145" s="104">
        <f t="shared" ref="A145:A166" si="248">A148+1</f>
        <v>9</v>
      </c>
      <c r="B145" s="162"/>
      <c r="C145" s="179">
        <v>35370</v>
      </c>
      <c r="D145" s="180"/>
      <c r="E145" s="180"/>
      <c r="F145" s="180"/>
      <c r="G145" s="165" t="s">
        <v>218</v>
      </c>
      <c r="H145" s="114"/>
      <c r="I145" s="114"/>
      <c r="J145" s="168" t="s">
        <v>250</v>
      </c>
      <c r="K145" s="169"/>
      <c r="L145" s="169"/>
      <c r="M145" s="169"/>
      <c r="N145" s="169"/>
      <c r="O145" s="170"/>
      <c r="P145" s="114">
        <v>5</v>
      </c>
      <c r="Q145" s="114"/>
      <c r="R145" s="114"/>
      <c r="S145" s="128" t="s">
        <v>30</v>
      </c>
      <c r="T145" s="128"/>
      <c r="U145" s="128"/>
      <c r="V145" s="184" t="s">
        <v>251</v>
      </c>
      <c r="W145" s="185"/>
      <c r="X145" s="185"/>
      <c r="Y145" s="185"/>
      <c r="Z145" s="185"/>
      <c r="AA145" s="185"/>
      <c r="AB145" s="185"/>
      <c r="AC145" s="185"/>
      <c r="AD145" s="185"/>
      <c r="AE145" s="185"/>
      <c r="AF145" s="185"/>
      <c r="AG145" s="185"/>
      <c r="AH145" s="185"/>
      <c r="AI145" s="185"/>
      <c r="AJ145" s="185"/>
      <c r="AK145" s="185"/>
      <c r="AL145" s="185"/>
      <c r="AM145" s="186"/>
      <c r="AN145" s="165" t="s">
        <v>252</v>
      </c>
      <c r="AO145" s="114"/>
      <c r="AP145" s="114"/>
      <c r="AQ145" s="114"/>
      <c r="AR145" s="114"/>
      <c r="AS145" s="114"/>
      <c r="AT145" s="114"/>
      <c r="AU145" s="62"/>
      <c r="AV145" s="63" t="s">
        <v>41</v>
      </c>
      <c r="AW145" s="64"/>
      <c r="AX145" s="62"/>
      <c r="AY145" s="62"/>
      <c r="AZ145" s="62"/>
      <c r="BA145" s="62" t="s">
        <v>40</v>
      </c>
      <c r="BB145" s="62" t="s">
        <v>40</v>
      </c>
      <c r="BC145" s="62" t="s">
        <v>40</v>
      </c>
      <c r="BD145" s="62"/>
      <c r="BE145" s="62"/>
      <c r="BF145" s="63"/>
      <c r="BG145" s="65"/>
      <c r="BH145" s="66"/>
      <c r="BI145" s="66"/>
      <c r="BJ145" s="66"/>
      <c r="BK145" s="66"/>
      <c r="BL145" s="67"/>
      <c r="BM145" s="52"/>
      <c r="BO145" s="74" t="e">
        <f>IF(#REF!="●",SUM(DATEDIF($C145,$C146,"M"),1),"")</f>
        <v>#REF!</v>
      </c>
      <c r="BP145" s="75" t="str">
        <f>IF(AU145="●",SUM(DATEDIF($C145,$C146,"M"),1),"")</f>
        <v/>
      </c>
      <c r="BQ145" s="54">
        <f>IF(AV145="●",SUM(DATEDIF($C145,$C146,"M"),1),"")</f>
        <v>2</v>
      </c>
      <c r="BR145" s="74" t="str">
        <f t="shared" ref="BR145" si="249">IF(BR$38=$S145,SUM(DATEDIF($C145,$C146,"M"),1),"")</f>
        <v/>
      </c>
      <c r="BS145" s="75" t="str">
        <f t="shared" ref="BS145" si="250">IF(BS$38=$S145,SUM(DATEDIF($C145,$C146,"M"),1),"")</f>
        <v/>
      </c>
      <c r="BT145" s="75" t="str">
        <f t="shared" ref="BT145" si="251">IF(BT$38=$S145,SUM(DATEDIF($C145,$C146,"M"),1),"")</f>
        <v/>
      </c>
      <c r="BU145" s="75" t="str">
        <f t="shared" ref="BU145" si="252">IF(BU$38=$S145,SUM(DATEDIF($C145,$C146,"M"),1),"")</f>
        <v/>
      </c>
      <c r="BV145" s="75" t="str">
        <f t="shared" ref="BV145" si="253">IF(BV$38=$S145,SUM(DATEDIF($C145,$C146,"M"),1),"")</f>
        <v/>
      </c>
      <c r="BW145" s="54">
        <f t="shared" ref="BW145" si="254">IF(BW$38=$S145,SUM(DATEDIF($C145,$C146,"M"),1),"")</f>
        <v>2</v>
      </c>
      <c r="BX145" s="38"/>
      <c r="BY145" s="55">
        <f t="shared" ref="BY145" si="255">SUM(BR145:BW147)</f>
        <v>2</v>
      </c>
      <c r="BZ145" s="55" t="str">
        <f>C147</f>
        <v>&lt;2ヶ月&gt;</v>
      </c>
    </row>
    <row r="146" spans="1:78" s="3" customFormat="1" ht="18.649999999999999" customHeight="1" x14ac:dyDescent="0.2">
      <c r="A146" s="106"/>
      <c r="B146" s="163"/>
      <c r="C146" s="56">
        <v>35430</v>
      </c>
      <c r="D146" s="57"/>
      <c r="E146" s="57"/>
      <c r="F146" s="58"/>
      <c r="G146" s="114"/>
      <c r="H146" s="114"/>
      <c r="I146" s="114"/>
      <c r="J146" s="115"/>
      <c r="K146" s="116"/>
      <c r="L146" s="116"/>
      <c r="M146" s="116"/>
      <c r="N146" s="116"/>
      <c r="O146" s="117"/>
      <c r="P146" s="114"/>
      <c r="Q146" s="114"/>
      <c r="R146" s="114"/>
      <c r="S146" s="128"/>
      <c r="T146" s="128"/>
      <c r="U146" s="128"/>
      <c r="V146" s="129"/>
      <c r="W146" s="130"/>
      <c r="X146" s="130"/>
      <c r="Y146" s="130"/>
      <c r="Z146" s="130"/>
      <c r="AA146" s="130"/>
      <c r="AB146" s="130"/>
      <c r="AC146" s="130"/>
      <c r="AD146" s="130"/>
      <c r="AE146" s="130"/>
      <c r="AF146" s="130"/>
      <c r="AG146" s="130"/>
      <c r="AH146" s="130"/>
      <c r="AI146" s="130"/>
      <c r="AJ146" s="130"/>
      <c r="AK146" s="130"/>
      <c r="AL146" s="130"/>
      <c r="AM146" s="131"/>
      <c r="AN146" s="114"/>
      <c r="AO146" s="114"/>
      <c r="AP146" s="114"/>
      <c r="AQ146" s="114"/>
      <c r="AR146" s="114"/>
      <c r="AS146" s="114"/>
      <c r="AT146" s="114"/>
      <c r="AU146" s="62"/>
      <c r="AV146" s="63"/>
      <c r="AW146" s="64"/>
      <c r="AX146" s="62"/>
      <c r="AY146" s="62"/>
      <c r="AZ146" s="62"/>
      <c r="BA146" s="62"/>
      <c r="BB146" s="62"/>
      <c r="BC146" s="62"/>
      <c r="BD146" s="62"/>
      <c r="BE146" s="62"/>
      <c r="BF146" s="63"/>
      <c r="BG146" s="68"/>
      <c r="BH146" s="69"/>
      <c r="BI146" s="69"/>
      <c r="BJ146" s="69"/>
      <c r="BK146" s="69"/>
      <c r="BL146" s="70"/>
      <c r="BM146" s="52"/>
      <c r="BO146" s="74"/>
      <c r="BP146" s="75"/>
      <c r="BQ146" s="54"/>
      <c r="BR146" s="74"/>
      <c r="BS146" s="75"/>
      <c r="BT146" s="75"/>
      <c r="BU146" s="75"/>
      <c r="BV146" s="75"/>
      <c r="BW146" s="54"/>
      <c r="BX146" s="38"/>
      <c r="BY146" s="55"/>
      <c r="BZ146" s="55"/>
    </row>
    <row r="147" spans="1:78" s="3" customFormat="1" ht="24" customHeight="1" x14ac:dyDescent="0.2">
      <c r="A147" s="108"/>
      <c r="B147" s="164"/>
      <c r="C147" s="59" t="str">
        <f>CONCATENATE("&lt;",SUM(DATEDIF(C145,C146,"M"),1),"ヶ月&gt;")</f>
        <v>&lt;2ヶ月&gt;</v>
      </c>
      <c r="D147" s="60"/>
      <c r="E147" s="60"/>
      <c r="F147" s="61"/>
      <c r="G147" s="114"/>
      <c r="H147" s="114"/>
      <c r="I147" s="114"/>
      <c r="J147" s="118"/>
      <c r="K147" s="119"/>
      <c r="L147" s="119"/>
      <c r="M147" s="119"/>
      <c r="N147" s="119"/>
      <c r="O147" s="120"/>
      <c r="P147" s="114"/>
      <c r="Q147" s="114"/>
      <c r="R147" s="114"/>
      <c r="S147" s="128"/>
      <c r="T147" s="128"/>
      <c r="U147" s="128"/>
      <c r="V147" s="132"/>
      <c r="W147" s="133"/>
      <c r="X147" s="133"/>
      <c r="Y147" s="133"/>
      <c r="Z147" s="133"/>
      <c r="AA147" s="133"/>
      <c r="AB147" s="133"/>
      <c r="AC147" s="133"/>
      <c r="AD147" s="133"/>
      <c r="AE147" s="133"/>
      <c r="AF147" s="133"/>
      <c r="AG147" s="133"/>
      <c r="AH147" s="133"/>
      <c r="AI147" s="133"/>
      <c r="AJ147" s="133"/>
      <c r="AK147" s="133"/>
      <c r="AL147" s="133"/>
      <c r="AM147" s="134"/>
      <c r="AN147" s="114"/>
      <c r="AO147" s="114"/>
      <c r="AP147" s="114"/>
      <c r="AQ147" s="114"/>
      <c r="AR147" s="114"/>
      <c r="AS147" s="114"/>
      <c r="AT147" s="114"/>
      <c r="AU147" s="62"/>
      <c r="AV147" s="63"/>
      <c r="AW147" s="64"/>
      <c r="AX147" s="62"/>
      <c r="AY147" s="62"/>
      <c r="AZ147" s="62"/>
      <c r="BA147" s="62"/>
      <c r="BB147" s="62"/>
      <c r="BC147" s="62"/>
      <c r="BD147" s="62"/>
      <c r="BE147" s="62"/>
      <c r="BF147" s="63"/>
      <c r="BG147" s="71"/>
      <c r="BH147" s="72"/>
      <c r="BI147" s="72"/>
      <c r="BJ147" s="72"/>
      <c r="BK147" s="72"/>
      <c r="BL147" s="73"/>
      <c r="BM147" s="52"/>
      <c r="BO147" s="74"/>
      <c r="BP147" s="75"/>
      <c r="BQ147" s="54"/>
      <c r="BR147" s="74"/>
      <c r="BS147" s="75"/>
      <c r="BT147" s="75"/>
      <c r="BU147" s="75"/>
      <c r="BV147" s="75"/>
      <c r="BW147" s="54"/>
      <c r="BX147" s="38"/>
      <c r="BY147" s="55"/>
      <c r="BZ147" s="55"/>
    </row>
    <row r="148" spans="1:78" s="3" customFormat="1" ht="18.649999999999999" customHeight="1" x14ac:dyDescent="0.2">
      <c r="A148" s="104">
        <f t="shared" si="248"/>
        <v>8</v>
      </c>
      <c r="B148" s="162"/>
      <c r="C148" s="179">
        <v>35339</v>
      </c>
      <c r="D148" s="180"/>
      <c r="E148" s="180"/>
      <c r="F148" s="180"/>
      <c r="G148" s="165" t="s">
        <v>218</v>
      </c>
      <c r="H148" s="114"/>
      <c r="I148" s="114"/>
      <c r="J148" s="168" t="s">
        <v>253</v>
      </c>
      <c r="K148" s="169"/>
      <c r="L148" s="169"/>
      <c r="M148" s="169"/>
      <c r="N148" s="169"/>
      <c r="O148" s="170"/>
      <c r="P148" s="114">
        <v>5</v>
      </c>
      <c r="Q148" s="114"/>
      <c r="R148" s="114"/>
      <c r="S148" s="128" t="s">
        <v>30</v>
      </c>
      <c r="T148" s="128"/>
      <c r="U148" s="128"/>
      <c r="V148" s="184" t="s">
        <v>254</v>
      </c>
      <c r="W148" s="185"/>
      <c r="X148" s="185"/>
      <c r="Y148" s="185"/>
      <c r="Z148" s="185"/>
      <c r="AA148" s="185"/>
      <c r="AB148" s="185"/>
      <c r="AC148" s="185"/>
      <c r="AD148" s="185"/>
      <c r="AE148" s="185"/>
      <c r="AF148" s="185"/>
      <c r="AG148" s="185"/>
      <c r="AH148" s="185"/>
      <c r="AI148" s="185"/>
      <c r="AJ148" s="185"/>
      <c r="AK148" s="185"/>
      <c r="AL148" s="185"/>
      <c r="AM148" s="186"/>
      <c r="AN148" s="165" t="s">
        <v>255</v>
      </c>
      <c r="AO148" s="114"/>
      <c r="AP148" s="114"/>
      <c r="AQ148" s="114"/>
      <c r="AR148" s="114"/>
      <c r="AS148" s="114"/>
      <c r="AT148" s="114"/>
      <c r="AU148" s="62"/>
      <c r="AV148" s="63" t="s">
        <v>41</v>
      </c>
      <c r="AW148" s="64"/>
      <c r="AX148" s="62"/>
      <c r="AY148" s="62"/>
      <c r="AZ148" s="62"/>
      <c r="BA148" s="62" t="s">
        <v>40</v>
      </c>
      <c r="BB148" s="62" t="s">
        <v>40</v>
      </c>
      <c r="BC148" s="62" t="s">
        <v>40</v>
      </c>
      <c r="BD148" s="62"/>
      <c r="BE148" s="62"/>
      <c r="BF148" s="63"/>
      <c r="BG148" s="65"/>
      <c r="BH148" s="66"/>
      <c r="BI148" s="66"/>
      <c r="BJ148" s="66"/>
      <c r="BK148" s="66"/>
      <c r="BL148" s="67"/>
      <c r="BM148" s="52"/>
      <c r="BO148" s="74" t="e">
        <f>IF(#REF!="●",SUM(DATEDIF($C148,$C149,"M"),1),"")</f>
        <v>#REF!</v>
      </c>
      <c r="BP148" s="75" t="str">
        <f>IF(AU148="●",SUM(DATEDIF($C148,$C149,"M"),1),"")</f>
        <v/>
      </c>
      <c r="BQ148" s="54">
        <f>IF(AV148="●",SUM(DATEDIF($C148,$C149,"M"),1),"")</f>
        <v>2</v>
      </c>
      <c r="BR148" s="74" t="str">
        <f t="shared" ref="BR148" si="256">IF(BR$38=$S148,SUM(DATEDIF($C148,$C149,"M"),1),"")</f>
        <v/>
      </c>
      <c r="BS148" s="75" t="str">
        <f t="shared" ref="BS148" si="257">IF(BS$38=$S148,SUM(DATEDIF($C148,$C149,"M"),1),"")</f>
        <v/>
      </c>
      <c r="BT148" s="75" t="str">
        <f t="shared" ref="BT148" si="258">IF(BT$38=$S148,SUM(DATEDIF($C148,$C149,"M"),1),"")</f>
        <v/>
      </c>
      <c r="BU148" s="75" t="str">
        <f t="shared" ref="BU148" si="259">IF(BU$38=$S148,SUM(DATEDIF($C148,$C149,"M"),1),"")</f>
        <v/>
      </c>
      <c r="BV148" s="75" t="str">
        <f t="shared" ref="BV148" si="260">IF(BV$38=$S148,SUM(DATEDIF($C148,$C149,"M"),1),"")</f>
        <v/>
      </c>
      <c r="BW148" s="54">
        <f t="shared" ref="BW148" si="261">IF(BW$38=$S148,SUM(DATEDIF($C148,$C149,"M"),1),"")</f>
        <v>2</v>
      </c>
      <c r="BX148" s="38"/>
      <c r="BY148" s="55">
        <f t="shared" ref="BY148" si="262">SUM(BR148:BW150)</f>
        <v>2</v>
      </c>
      <c r="BZ148" s="55" t="str">
        <f>C150</f>
        <v>&lt;2ヶ月&gt;</v>
      </c>
    </row>
    <row r="149" spans="1:78" s="3" customFormat="1" ht="18.649999999999999" customHeight="1" x14ac:dyDescent="0.2">
      <c r="A149" s="106"/>
      <c r="B149" s="163"/>
      <c r="C149" s="56">
        <v>35399</v>
      </c>
      <c r="D149" s="57"/>
      <c r="E149" s="57"/>
      <c r="F149" s="58"/>
      <c r="G149" s="114"/>
      <c r="H149" s="114"/>
      <c r="I149" s="114"/>
      <c r="J149" s="115"/>
      <c r="K149" s="116"/>
      <c r="L149" s="116"/>
      <c r="M149" s="116"/>
      <c r="N149" s="116"/>
      <c r="O149" s="117"/>
      <c r="P149" s="114"/>
      <c r="Q149" s="114"/>
      <c r="R149" s="114"/>
      <c r="S149" s="128"/>
      <c r="T149" s="128"/>
      <c r="U149" s="128"/>
      <c r="V149" s="129"/>
      <c r="W149" s="130"/>
      <c r="X149" s="130"/>
      <c r="Y149" s="130"/>
      <c r="Z149" s="130"/>
      <c r="AA149" s="130"/>
      <c r="AB149" s="130"/>
      <c r="AC149" s="130"/>
      <c r="AD149" s="130"/>
      <c r="AE149" s="130"/>
      <c r="AF149" s="130"/>
      <c r="AG149" s="130"/>
      <c r="AH149" s="130"/>
      <c r="AI149" s="130"/>
      <c r="AJ149" s="130"/>
      <c r="AK149" s="130"/>
      <c r="AL149" s="130"/>
      <c r="AM149" s="131"/>
      <c r="AN149" s="114"/>
      <c r="AO149" s="114"/>
      <c r="AP149" s="114"/>
      <c r="AQ149" s="114"/>
      <c r="AR149" s="114"/>
      <c r="AS149" s="114"/>
      <c r="AT149" s="114"/>
      <c r="AU149" s="62"/>
      <c r="AV149" s="63"/>
      <c r="AW149" s="64"/>
      <c r="AX149" s="62"/>
      <c r="AY149" s="62"/>
      <c r="AZ149" s="62"/>
      <c r="BA149" s="62"/>
      <c r="BB149" s="62"/>
      <c r="BC149" s="62"/>
      <c r="BD149" s="62"/>
      <c r="BE149" s="62"/>
      <c r="BF149" s="63"/>
      <c r="BG149" s="68"/>
      <c r="BH149" s="69"/>
      <c r="BI149" s="69"/>
      <c r="BJ149" s="69"/>
      <c r="BK149" s="69"/>
      <c r="BL149" s="70"/>
      <c r="BM149" s="52"/>
      <c r="BO149" s="74"/>
      <c r="BP149" s="75"/>
      <c r="BQ149" s="54"/>
      <c r="BR149" s="74"/>
      <c r="BS149" s="75"/>
      <c r="BT149" s="75"/>
      <c r="BU149" s="75"/>
      <c r="BV149" s="75"/>
      <c r="BW149" s="54"/>
      <c r="BX149" s="38"/>
      <c r="BY149" s="55"/>
      <c r="BZ149" s="55"/>
    </row>
    <row r="150" spans="1:78" s="3" customFormat="1" ht="24" customHeight="1" x14ac:dyDescent="0.2">
      <c r="A150" s="108"/>
      <c r="B150" s="164"/>
      <c r="C150" s="59" t="str">
        <f>CONCATENATE("&lt;",SUM(DATEDIF(C148,C149,"M"),1),"ヶ月&gt;")</f>
        <v>&lt;2ヶ月&gt;</v>
      </c>
      <c r="D150" s="60"/>
      <c r="E150" s="60"/>
      <c r="F150" s="61"/>
      <c r="G150" s="114"/>
      <c r="H150" s="114"/>
      <c r="I150" s="114"/>
      <c r="J150" s="118"/>
      <c r="K150" s="119"/>
      <c r="L150" s="119"/>
      <c r="M150" s="119"/>
      <c r="N150" s="119"/>
      <c r="O150" s="120"/>
      <c r="P150" s="114"/>
      <c r="Q150" s="114"/>
      <c r="R150" s="114"/>
      <c r="S150" s="128"/>
      <c r="T150" s="128"/>
      <c r="U150" s="128"/>
      <c r="V150" s="132"/>
      <c r="W150" s="133"/>
      <c r="X150" s="133"/>
      <c r="Y150" s="133"/>
      <c r="Z150" s="133"/>
      <c r="AA150" s="133"/>
      <c r="AB150" s="133"/>
      <c r="AC150" s="133"/>
      <c r="AD150" s="133"/>
      <c r="AE150" s="133"/>
      <c r="AF150" s="133"/>
      <c r="AG150" s="133"/>
      <c r="AH150" s="133"/>
      <c r="AI150" s="133"/>
      <c r="AJ150" s="133"/>
      <c r="AK150" s="133"/>
      <c r="AL150" s="133"/>
      <c r="AM150" s="134"/>
      <c r="AN150" s="114"/>
      <c r="AO150" s="114"/>
      <c r="AP150" s="114"/>
      <c r="AQ150" s="114"/>
      <c r="AR150" s="114"/>
      <c r="AS150" s="114"/>
      <c r="AT150" s="114"/>
      <c r="AU150" s="62"/>
      <c r="AV150" s="63"/>
      <c r="AW150" s="64"/>
      <c r="AX150" s="62"/>
      <c r="AY150" s="62"/>
      <c r="AZ150" s="62"/>
      <c r="BA150" s="62"/>
      <c r="BB150" s="62"/>
      <c r="BC150" s="62"/>
      <c r="BD150" s="62"/>
      <c r="BE150" s="62"/>
      <c r="BF150" s="63"/>
      <c r="BG150" s="71"/>
      <c r="BH150" s="72"/>
      <c r="BI150" s="72"/>
      <c r="BJ150" s="72"/>
      <c r="BK150" s="72"/>
      <c r="BL150" s="73"/>
      <c r="BM150" s="52"/>
      <c r="BO150" s="74"/>
      <c r="BP150" s="75"/>
      <c r="BQ150" s="54"/>
      <c r="BR150" s="74"/>
      <c r="BS150" s="75"/>
      <c r="BT150" s="75"/>
      <c r="BU150" s="75"/>
      <c r="BV150" s="75"/>
      <c r="BW150" s="54"/>
      <c r="BX150" s="38"/>
      <c r="BY150" s="55"/>
      <c r="BZ150" s="55"/>
    </row>
    <row r="151" spans="1:78" s="3" customFormat="1" ht="18.649999999999999" customHeight="1" x14ac:dyDescent="0.2">
      <c r="A151" s="104">
        <f t="shared" si="248"/>
        <v>7</v>
      </c>
      <c r="B151" s="162"/>
      <c r="C151" s="179">
        <v>33848</v>
      </c>
      <c r="D151" s="180"/>
      <c r="E151" s="180"/>
      <c r="F151" s="180"/>
      <c r="G151" s="165" t="s">
        <v>232</v>
      </c>
      <c r="H151" s="114"/>
      <c r="I151" s="114"/>
      <c r="J151" s="168" t="s">
        <v>256</v>
      </c>
      <c r="K151" s="169"/>
      <c r="L151" s="169"/>
      <c r="M151" s="169"/>
      <c r="N151" s="169"/>
      <c r="O151" s="170"/>
      <c r="P151" s="114">
        <v>100</v>
      </c>
      <c r="Q151" s="114"/>
      <c r="R151" s="114"/>
      <c r="S151" s="128" t="s">
        <v>30</v>
      </c>
      <c r="T151" s="128"/>
      <c r="U151" s="128"/>
      <c r="V151" s="184" t="s">
        <v>257</v>
      </c>
      <c r="W151" s="185"/>
      <c r="X151" s="185"/>
      <c r="Y151" s="185"/>
      <c r="Z151" s="185"/>
      <c r="AA151" s="185"/>
      <c r="AB151" s="185"/>
      <c r="AC151" s="185"/>
      <c r="AD151" s="185"/>
      <c r="AE151" s="185"/>
      <c r="AF151" s="185"/>
      <c r="AG151" s="185"/>
      <c r="AH151" s="185"/>
      <c r="AI151" s="185"/>
      <c r="AJ151" s="185"/>
      <c r="AK151" s="185"/>
      <c r="AL151" s="185"/>
      <c r="AM151" s="186"/>
      <c r="AN151" s="165" t="s">
        <v>258</v>
      </c>
      <c r="AO151" s="114"/>
      <c r="AP151" s="114"/>
      <c r="AQ151" s="114"/>
      <c r="AR151" s="114"/>
      <c r="AS151" s="114"/>
      <c r="AT151" s="114"/>
      <c r="AU151" s="62"/>
      <c r="AV151" s="63" t="s">
        <v>41</v>
      </c>
      <c r="AW151" s="64"/>
      <c r="AX151" s="62"/>
      <c r="AY151" s="62"/>
      <c r="AZ151" s="161" t="s">
        <v>41</v>
      </c>
      <c r="BA151" s="161" t="s">
        <v>40</v>
      </c>
      <c r="BB151" s="161" t="s">
        <v>40</v>
      </c>
      <c r="BC151" s="161"/>
      <c r="BD151" s="62"/>
      <c r="BE151" s="62"/>
      <c r="BF151" s="63"/>
      <c r="BG151" s="65"/>
      <c r="BH151" s="66"/>
      <c r="BI151" s="66"/>
      <c r="BJ151" s="66"/>
      <c r="BK151" s="66"/>
      <c r="BL151" s="67"/>
      <c r="BM151" s="52"/>
      <c r="BO151" s="74" t="e">
        <f>IF(#REF!="●",SUM(DATEDIF($C151,$C152,"M"),1),"")</f>
        <v>#REF!</v>
      </c>
      <c r="BP151" s="75" t="str">
        <f>IF(AU151="●",SUM(DATEDIF($C151,$C152,"M"),1),"")</f>
        <v/>
      </c>
      <c r="BQ151" s="54">
        <f>IF(AV151="●",SUM(DATEDIF($C151,$C152,"M"),1),"")</f>
        <v>9</v>
      </c>
      <c r="BR151" s="74" t="str">
        <f t="shared" ref="BR151" si="263">IF(BR$38=$S151,SUM(DATEDIF($C151,$C152,"M"),1),"")</f>
        <v/>
      </c>
      <c r="BS151" s="75" t="str">
        <f t="shared" ref="BS151" si="264">IF(BS$38=$S151,SUM(DATEDIF($C151,$C152,"M"),1),"")</f>
        <v/>
      </c>
      <c r="BT151" s="75" t="str">
        <f t="shared" ref="BT151" si="265">IF(BT$38=$S151,SUM(DATEDIF($C151,$C152,"M"),1),"")</f>
        <v/>
      </c>
      <c r="BU151" s="75" t="str">
        <f t="shared" ref="BU151" si="266">IF(BU$38=$S151,SUM(DATEDIF($C151,$C152,"M"),1),"")</f>
        <v/>
      </c>
      <c r="BV151" s="75" t="str">
        <f t="shared" ref="BV151" si="267">IF(BV$38=$S151,SUM(DATEDIF($C151,$C152,"M"),1),"")</f>
        <v/>
      </c>
      <c r="BW151" s="54">
        <f t="shared" ref="BW151" si="268">IF(BW$38=$S151,SUM(DATEDIF($C151,$C152,"M"),1),"")</f>
        <v>9</v>
      </c>
      <c r="BX151" s="38"/>
      <c r="BY151" s="55">
        <f t="shared" ref="BY151" si="269">SUM(BR151:BW153)</f>
        <v>9</v>
      </c>
      <c r="BZ151" s="55" t="str">
        <f>C153</f>
        <v>&lt;9ヶ月&gt;</v>
      </c>
    </row>
    <row r="152" spans="1:78" s="3" customFormat="1" ht="18.649999999999999" customHeight="1" x14ac:dyDescent="0.2">
      <c r="A152" s="106"/>
      <c r="B152" s="163"/>
      <c r="C152" s="56">
        <v>34120</v>
      </c>
      <c r="D152" s="57"/>
      <c r="E152" s="57"/>
      <c r="F152" s="58"/>
      <c r="G152" s="114"/>
      <c r="H152" s="114"/>
      <c r="I152" s="114"/>
      <c r="J152" s="115"/>
      <c r="K152" s="116"/>
      <c r="L152" s="116"/>
      <c r="M152" s="116"/>
      <c r="N152" s="116"/>
      <c r="O152" s="117"/>
      <c r="P152" s="114"/>
      <c r="Q152" s="114"/>
      <c r="R152" s="114"/>
      <c r="S152" s="128"/>
      <c r="T152" s="128"/>
      <c r="U152" s="128"/>
      <c r="V152" s="129"/>
      <c r="W152" s="130"/>
      <c r="X152" s="130"/>
      <c r="Y152" s="130"/>
      <c r="Z152" s="130"/>
      <c r="AA152" s="130"/>
      <c r="AB152" s="130"/>
      <c r="AC152" s="130"/>
      <c r="AD152" s="130"/>
      <c r="AE152" s="130"/>
      <c r="AF152" s="130"/>
      <c r="AG152" s="130"/>
      <c r="AH152" s="130"/>
      <c r="AI152" s="130"/>
      <c r="AJ152" s="130"/>
      <c r="AK152" s="130"/>
      <c r="AL152" s="130"/>
      <c r="AM152" s="131"/>
      <c r="AN152" s="114"/>
      <c r="AO152" s="114"/>
      <c r="AP152" s="114"/>
      <c r="AQ152" s="114"/>
      <c r="AR152" s="114"/>
      <c r="AS152" s="114"/>
      <c r="AT152" s="114"/>
      <c r="AU152" s="62"/>
      <c r="AV152" s="63"/>
      <c r="AW152" s="64"/>
      <c r="AX152" s="62"/>
      <c r="AY152" s="62"/>
      <c r="AZ152" s="187"/>
      <c r="BA152" s="187"/>
      <c r="BB152" s="187"/>
      <c r="BC152" s="187"/>
      <c r="BD152" s="62"/>
      <c r="BE152" s="62"/>
      <c r="BF152" s="63"/>
      <c r="BG152" s="68"/>
      <c r="BH152" s="69"/>
      <c r="BI152" s="69"/>
      <c r="BJ152" s="69"/>
      <c r="BK152" s="69"/>
      <c r="BL152" s="70"/>
      <c r="BM152" s="52"/>
      <c r="BO152" s="74"/>
      <c r="BP152" s="75"/>
      <c r="BQ152" s="54"/>
      <c r="BR152" s="74"/>
      <c r="BS152" s="75"/>
      <c r="BT152" s="75"/>
      <c r="BU152" s="75"/>
      <c r="BV152" s="75"/>
      <c r="BW152" s="54"/>
      <c r="BX152" s="38"/>
      <c r="BY152" s="55"/>
      <c r="BZ152" s="55"/>
    </row>
    <row r="153" spans="1:78" s="3" customFormat="1" ht="27" customHeight="1" x14ac:dyDescent="0.2">
      <c r="A153" s="108"/>
      <c r="B153" s="164"/>
      <c r="C153" s="59" t="str">
        <f>CONCATENATE("&lt;",SUM(DATEDIF(C151,C152,"M"),1),"ヶ月&gt;")</f>
        <v>&lt;9ヶ月&gt;</v>
      </c>
      <c r="D153" s="60"/>
      <c r="E153" s="60"/>
      <c r="F153" s="61"/>
      <c r="G153" s="114"/>
      <c r="H153" s="114"/>
      <c r="I153" s="114"/>
      <c r="J153" s="118"/>
      <c r="K153" s="119"/>
      <c r="L153" s="119"/>
      <c r="M153" s="119"/>
      <c r="N153" s="119"/>
      <c r="O153" s="120"/>
      <c r="P153" s="114"/>
      <c r="Q153" s="114"/>
      <c r="R153" s="114"/>
      <c r="S153" s="128"/>
      <c r="T153" s="128"/>
      <c r="U153" s="128"/>
      <c r="V153" s="132"/>
      <c r="W153" s="133"/>
      <c r="X153" s="133"/>
      <c r="Y153" s="133"/>
      <c r="Z153" s="133"/>
      <c r="AA153" s="133"/>
      <c r="AB153" s="133"/>
      <c r="AC153" s="133"/>
      <c r="AD153" s="133"/>
      <c r="AE153" s="133"/>
      <c r="AF153" s="133"/>
      <c r="AG153" s="133"/>
      <c r="AH153" s="133"/>
      <c r="AI153" s="133"/>
      <c r="AJ153" s="133"/>
      <c r="AK153" s="133"/>
      <c r="AL153" s="133"/>
      <c r="AM153" s="134"/>
      <c r="AN153" s="114"/>
      <c r="AO153" s="114"/>
      <c r="AP153" s="114"/>
      <c r="AQ153" s="114"/>
      <c r="AR153" s="114"/>
      <c r="AS153" s="114"/>
      <c r="AT153" s="114"/>
      <c r="AU153" s="62"/>
      <c r="AV153" s="63"/>
      <c r="AW153" s="64"/>
      <c r="AX153" s="62"/>
      <c r="AY153" s="62"/>
      <c r="AZ153" s="78"/>
      <c r="BA153" s="78"/>
      <c r="BB153" s="78"/>
      <c r="BC153" s="78"/>
      <c r="BD153" s="62"/>
      <c r="BE153" s="62"/>
      <c r="BF153" s="63"/>
      <c r="BG153" s="71"/>
      <c r="BH153" s="72"/>
      <c r="BI153" s="72"/>
      <c r="BJ153" s="72"/>
      <c r="BK153" s="72"/>
      <c r="BL153" s="73"/>
      <c r="BM153" s="52"/>
      <c r="BO153" s="74"/>
      <c r="BP153" s="75"/>
      <c r="BQ153" s="54"/>
      <c r="BR153" s="74"/>
      <c r="BS153" s="75"/>
      <c r="BT153" s="75"/>
      <c r="BU153" s="75"/>
      <c r="BV153" s="75"/>
      <c r="BW153" s="54"/>
      <c r="BX153" s="38"/>
      <c r="BY153" s="55"/>
      <c r="BZ153" s="55"/>
    </row>
    <row r="154" spans="1:78" s="3" customFormat="1" ht="18.649999999999999" customHeight="1" x14ac:dyDescent="0.2">
      <c r="A154" s="104">
        <f t="shared" si="248"/>
        <v>6</v>
      </c>
      <c r="B154" s="162"/>
      <c r="C154" s="179">
        <v>33756</v>
      </c>
      <c r="D154" s="180"/>
      <c r="E154" s="180"/>
      <c r="F154" s="180"/>
      <c r="G154" s="165" t="s">
        <v>259</v>
      </c>
      <c r="H154" s="114"/>
      <c r="I154" s="114"/>
      <c r="J154" s="168" t="s">
        <v>260</v>
      </c>
      <c r="K154" s="169"/>
      <c r="L154" s="169"/>
      <c r="M154" s="169"/>
      <c r="N154" s="169"/>
      <c r="O154" s="170"/>
      <c r="P154" s="114">
        <v>30</v>
      </c>
      <c r="Q154" s="114"/>
      <c r="R154" s="114"/>
      <c r="S154" s="128" t="s">
        <v>30</v>
      </c>
      <c r="T154" s="128"/>
      <c r="U154" s="128"/>
      <c r="V154" s="184" t="s">
        <v>261</v>
      </c>
      <c r="W154" s="185"/>
      <c r="X154" s="185"/>
      <c r="Y154" s="185"/>
      <c r="Z154" s="185"/>
      <c r="AA154" s="185"/>
      <c r="AB154" s="185"/>
      <c r="AC154" s="185"/>
      <c r="AD154" s="185"/>
      <c r="AE154" s="185"/>
      <c r="AF154" s="185"/>
      <c r="AG154" s="185"/>
      <c r="AH154" s="185"/>
      <c r="AI154" s="185"/>
      <c r="AJ154" s="185"/>
      <c r="AK154" s="185"/>
      <c r="AL154" s="185"/>
      <c r="AM154" s="186"/>
      <c r="AN154" s="165" t="s">
        <v>262</v>
      </c>
      <c r="AO154" s="114"/>
      <c r="AP154" s="114"/>
      <c r="AQ154" s="114"/>
      <c r="AR154" s="114"/>
      <c r="AS154" s="114"/>
      <c r="AT154" s="114"/>
      <c r="AU154" s="62"/>
      <c r="AV154" s="63" t="s">
        <v>41</v>
      </c>
      <c r="AW154" s="64"/>
      <c r="AX154" s="62"/>
      <c r="AY154" s="62"/>
      <c r="AZ154" s="62" t="s">
        <v>40</v>
      </c>
      <c r="BA154" s="62" t="s">
        <v>40</v>
      </c>
      <c r="BB154" s="62" t="s">
        <v>40</v>
      </c>
      <c r="BC154" s="62" t="s">
        <v>40</v>
      </c>
      <c r="BD154" s="62"/>
      <c r="BE154" s="62"/>
      <c r="BF154" s="63"/>
      <c r="BG154" s="65"/>
      <c r="BH154" s="66"/>
      <c r="BI154" s="66"/>
      <c r="BJ154" s="66"/>
      <c r="BK154" s="66"/>
      <c r="BL154" s="67"/>
      <c r="BM154" s="52"/>
      <c r="BO154" s="74" t="e">
        <f>IF(#REF!="●",SUM(DATEDIF($C154,$C155,"M"),1),"")</f>
        <v>#REF!</v>
      </c>
      <c r="BP154" s="75" t="str">
        <f>IF(AU154="●",SUM(DATEDIF($C154,$C155,"M"),1),"")</f>
        <v/>
      </c>
      <c r="BQ154" s="54">
        <f>IF(AV154="●",SUM(DATEDIF($C154,$C155,"M"),1),"")</f>
        <v>3</v>
      </c>
      <c r="BR154" s="74" t="str">
        <f t="shared" ref="BR154" si="270">IF(BR$38=$S154,SUM(DATEDIF($C154,$C155,"M"),1),"")</f>
        <v/>
      </c>
      <c r="BS154" s="75" t="str">
        <f t="shared" ref="BS154" si="271">IF(BS$38=$S154,SUM(DATEDIF($C154,$C155,"M"),1),"")</f>
        <v/>
      </c>
      <c r="BT154" s="75" t="str">
        <f t="shared" ref="BT154" si="272">IF(BT$38=$S154,SUM(DATEDIF($C154,$C155,"M"),1),"")</f>
        <v/>
      </c>
      <c r="BU154" s="75" t="str">
        <f t="shared" ref="BU154" si="273">IF(BU$38=$S154,SUM(DATEDIF($C154,$C155,"M"),1),"")</f>
        <v/>
      </c>
      <c r="BV154" s="75" t="str">
        <f t="shared" ref="BV154" si="274">IF(BV$38=$S154,SUM(DATEDIF($C154,$C155,"M"),1),"")</f>
        <v/>
      </c>
      <c r="BW154" s="54">
        <f t="shared" ref="BW154" si="275">IF(BW$38=$S154,SUM(DATEDIF($C154,$C155,"M"),1),"")</f>
        <v>3</v>
      </c>
      <c r="BX154" s="38"/>
      <c r="BY154" s="55">
        <f t="shared" ref="BY154" si="276">SUM(BR154:BW156)</f>
        <v>3</v>
      </c>
      <c r="BZ154" s="55" t="str">
        <f>C156</f>
        <v>&lt;3ヶ月&gt;</v>
      </c>
    </row>
    <row r="155" spans="1:78" s="3" customFormat="1" ht="18.649999999999999" customHeight="1" x14ac:dyDescent="0.2">
      <c r="A155" s="106"/>
      <c r="B155" s="163"/>
      <c r="C155" s="56">
        <v>33847</v>
      </c>
      <c r="D155" s="57"/>
      <c r="E155" s="57"/>
      <c r="F155" s="58"/>
      <c r="G155" s="114"/>
      <c r="H155" s="114"/>
      <c r="I155" s="114"/>
      <c r="J155" s="115"/>
      <c r="K155" s="116"/>
      <c r="L155" s="116"/>
      <c r="M155" s="116"/>
      <c r="N155" s="116"/>
      <c r="O155" s="117"/>
      <c r="P155" s="114"/>
      <c r="Q155" s="114"/>
      <c r="R155" s="114"/>
      <c r="S155" s="128"/>
      <c r="T155" s="128"/>
      <c r="U155" s="128"/>
      <c r="V155" s="129"/>
      <c r="W155" s="130"/>
      <c r="X155" s="130"/>
      <c r="Y155" s="130"/>
      <c r="Z155" s="130"/>
      <c r="AA155" s="130"/>
      <c r="AB155" s="130"/>
      <c r="AC155" s="130"/>
      <c r="AD155" s="130"/>
      <c r="AE155" s="130"/>
      <c r="AF155" s="130"/>
      <c r="AG155" s="130"/>
      <c r="AH155" s="130"/>
      <c r="AI155" s="130"/>
      <c r="AJ155" s="130"/>
      <c r="AK155" s="130"/>
      <c r="AL155" s="130"/>
      <c r="AM155" s="131"/>
      <c r="AN155" s="114"/>
      <c r="AO155" s="114"/>
      <c r="AP155" s="114"/>
      <c r="AQ155" s="114"/>
      <c r="AR155" s="114"/>
      <c r="AS155" s="114"/>
      <c r="AT155" s="114"/>
      <c r="AU155" s="62"/>
      <c r="AV155" s="63"/>
      <c r="AW155" s="64"/>
      <c r="AX155" s="62"/>
      <c r="AY155" s="62"/>
      <c r="AZ155" s="62"/>
      <c r="BA155" s="62"/>
      <c r="BB155" s="62"/>
      <c r="BC155" s="62"/>
      <c r="BD155" s="62"/>
      <c r="BE155" s="62"/>
      <c r="BF155" s="63"/>
      <c r="BG155" s="68"/>
      <c r="BH155" s="69"/>
      <c r="BI155" s="69"/>
      <c r="BJ155" s="69"/>
      <c r="BK155" s="69"/>
      <c r="BL155" s="70"/>
      <c r="BM155" s="52"/>
      <c r="BO155" s="74"/>
      <c r="BP155" s="75"/>
      <c r="BQ155" s="54"/>
      <c r="BR155" s="74"/>
      <c r="BS155" s="75"/>
      <c r="BT155" s="75"/>
      <c r="BU155" s="75"/>
      <c r="BV155" s="75"/>
      <c r="BW155" s="54"/>
      <c r="BX155" s="38"/>
      <c r="BY155" s="55"/>
      <c r="BZ155" s="55"/>
    </row>
    <row r="156" spans="1:78" s="3" customFormat="1" ht="27" customHeight="1" x14ac:dyDescent="0.2">
      <c r="A156" s="108"/>
      <c r="B156" s="164"/>
      <c r="C156" s="59" t="str">
        <f>CONCATENATE("&lt;",SUM(DATEDIF(C154,C155,"M"),1),"ヶ月&gt;")</f>
        <v>&lt;3ヶ月&gt;</v>
      </c>
      <c r="D156" s="60"/>
      <c r="E156" s="60"/>
      <c r="F156" s="61"/>
      <c r="G156" s="114"/>
      <c r="H156" s="114"/>
      <c r="I156" s="114"/>
      <c r="J156" s="118"/>
      <c r="K156" s="119"/>
      <c r="L156" s="119"/>
      <c r="M156" s="119"/>
      <c r="N156" s="119"/>
      <c r="O156" s="120"/>
      <c r="P156" s="114"/>
      <c r="Q156" s="114"/>
      <c r="R156" s="114"/>
      <c r="S156" s="128"/>
      <c r="T156" s="128"/>
      <c r="U156" s="128"/>
      <c r="V156" s="132"/>
      <c r="W156" s="133"/>
      <c r="X156" s="133"/>
      <c r="Y156" s="133"/>
      <c r="Z156" s="133"/>
      <c r="AA156" s="133"/>
      <c r="AB156" s="133"/>
      <c r="AC156" s="133"/>
      <c r="AD156" s="133"/>
      <c r="AE156" s="133"/>
      <c r="AF156" s="133"/>
      <c r="AG156" s="133"/>
      <c r="AH156" s="133"/>
      <c r="AI156" s="133"/>
      <c r="AJ156" s="133"/>
      <c r="AK156" s="133"/>
      <c r="AL156" s="133"/>
      <c r="AM156" s="134"/>
      <c r="AN156" s="114"/>
      <c r="AO156" s="114"/>
      <c r="AP156" s="114"/>
      <c r="AQ156" s="114"/>
      <c r="AR156" s="114"/>
      <c r="AS156" s="114"/>
      <c r="AT156" s="114"/>
      <c r="AU156" s="62"/>
      <c r="AV156" s="63"/>
      <c r="AW156" s="64"/>
      <c r="AX156" s="62"/>
      <c r="AY156" s="62"/>
      <c r="AZ156" s="62"/>
      <c r="BA156" s="62"/>
      <c r="BB156" s="62"/>
      <c r="BC156" s="62"/>
      <c r="BD156" s="62"/>
      <c r="BE156" s="62"/>
      <c r="BF156" s="63"/>
      <c r="BG156" s="71"/>
      <c r="BH156" s="72"/>
      <c r="BI156" s="72"/>
      <c r="BJ156" s="72"/>
      <c r="BK156" s="72"/>
      <c r="BL156" s="73"/>
      <c r="BM156" s="52"/>
      <c r="BO156" s="74"/>
      <c r="BP156" s="75"/>
      <c r="BQ156" s="54"/>
      <c r="BR156" s="74"/>
      <c r="BS156" s="75"/>
      <c r="BT156" s="75"/>
      <c r="BU156" s="75"/>
      <c r="BV156" s="75"/>
      <c r="BW156" s="54"/>
      <c r="BX156" s="38"/>
      <c r="BY156" s="55"/>
      <c r="BZ156" s="55"/>
    </row>
    <row r="157" spans="1:78" s="3" customFormat="1" ht="18.649999999999999" customHeight="1" x14ac:dyDescent="0.2">
      <c r="A157" s="104">
        <f t="shared" si="248"/>
        <v>5</v>
      </c>
      <c r="B157" s="162"/>
      <c r="C157" s="179">
        <v>33604</v>
      </c>
      <c r="D157" s="180"/>
      <c r="E157" s="180"/>
      <c r="F157" s="180"/>
      <c r="G157" s="165" t="s">
        <v>263</v>
      </c>
      <c r="H157" s="114"/>
      <c r="I157" s="114"/>
      <c r="J157" s="168" t="s">
        <v>165</v>
      </c>
      <c r="K157" s="169"/>
      <c r="L157" s="169"/>
      <c r="M157" s="169"/>
      <c r="N157" s="169"/>
      <c r="O157" s="170"/>
      <c r="P157" s="114">
        <v>30</v>
      </c>
      <c r="Q157" s="114"/>
      <c r="R157" s="114"/>
      <c r="S157" s="128" t="s">
        <v>30</v>
      </c>
      <c r="T157" s="128"/>
      <c r="U157" s="128"/>
      <c r="V157" s="184" t="s">
        <v>264</v>
      </c>
      <c r="W157" s="185"/>
      <c r="X157" s="185"/>
      <c r="Y157" s="185"/>
      <c r="Z157" s="185"/>
      <c r="AA157" s="185"/>
      <c r="AB157" s="185"/>
      <c r="AC157" s="185"/>
      <c r="AD157" s="185"/>
      <c r="AE157" s="185"/>
      <c r="AF157" s="185"/>
      <c r="AG157" s="185"/>
      <c r="AH157" s="185"/>
      <c r="AI157" s="185"/>
      <c r="AJ157" s="185"/>
      <c r="AK157" s="185"/>
      <c r="AL157" s="185"/>
      <c r="AM157" s="186"/>
      <c r="AN157" s="165" t="s">
        <v>265</v>
      </c>
      <c r="AO157" s="114"/>
      <c r="AP157" s="114"/>
      <c r="AQ157" s="114"/>
      <c r="AR157" s="114"/>
      <c r="AS157" s="114"/>
      <c r="AT157" s="114"/>
      <c r="AU157" s="62"/>
      <c r="AV157" s="63" t="s">
        <v>41</v>
      </c>
      <c r="AW157" s="64"/>
      <c r="AX157" s="62"/>
      <c r="AY157" s="62"/>
      <c r="AZ157" s="62" t="s">
        <v>40</v>
      </c>
      <c r="BA157" s="62" t="s">
        <v>40</v>
      </c>
      <c r="BB157" s="62" t="s">
        <v>40</v>
      </c>
      <c r="BC157" s="62"/>
      <c r="BD157" s="62"/>
      <c r="BE157" s="62"/>
      <c r="BF157" s="63"/>
      <c r="BG157" s="65"/>
      <c r="BH157" s="66"/>
      <c r="BI157" s="66"/>
      <c r="BJ157" s="66"/>
      <c r="BK157" s="66"/>
      <c r="BL157" s="67"/>
      <c r="BM157" s="52"/>
      <c r="BO157" s="74" t="e">
        <f>IF(#REF!="●",SUM(DATEDIF($C157,$C158,"M"),1),"")</f>
        <v>#REF!</v>
      </c>
      <c r="BP157" s="75" t="str">
        <f>IF(AU157="●",SUM(DATEDIF($C157,$C158,"M"),1),"")</f>
        <v/>
      </c>
      <c r="BQ157" s="54">
        <f>IF(AV157="●",SUM(DATEDIF($C157,$C158,"M"),1),"")</f>
        <v>5</v>
      </c>
      <c r="BR157" s="74" t="str">
        <f t="shared" ref="BR157" si="277">IF(BR$38=$S157,SUM(DATEDIF($C157,$C158,"M"),1),"")</f>
        <v/>
      </c>
      <c r="BS157" s="75" t="str">
        <f t="shared" ref="BS157" si="278">IF(BS$38=$S157,SUM(DATEDIF($C157,$C158,"M"),1),"")</f>
        <v/>
      </c>
      <c r="BT157" s="75" t="str">
        <f t="shared" ref="BT157" si="279">IF(BT$38=$S157,SUM(DATEDIF($C157,$C158,"M"),1),"")</f>
        <v/>
      </c>
      <c r="BU157" s="75" t="str">
        <f t="shared" ref="BU157" si="280">IF(BU$38=$S157,SUM(DATEDIF($C157,$C158,"M"),1),"")</f>
        <v/>
      </c>
      <c r="BV157" s="75" t="str">
        <f t="shared" ref="BV157" si="281">IF(BV$38=$S157,SUM(DATEDIF($C157,$C158,"M"),1),"")</f>
        <v/>
      </c>
      <c r="BW157" s="54">
        <f t="shared" ref="BW157" si="282">IF(BW$38=$S157,SUM(DATEDIF($C157,$C158,"M"),1),"")</f>
        <v>5</v>
      </c>
      <c r="BX157" s="38"/>
      <c r="BY157" s="55">
        <f t="shared" ref="BY157" si="283">SUM(BR157:BW159)</f>
        <v>5</v>
      </c>
      <c r="BZ157" s="55" t="str">
        <f>C159</f>
        <v>&lt;5ヶ月&gt;</v>
      </c>
    </row>
    <row r="158" spans="1:78" s="3" customFormat="1" ht="18.649999999999999" customHeight="1" x14ac:dyDescent="0.2">
      <c r="A158" s="106"/>
      <c r="B158" s="163"/>
      <c r="C158" s="56">
        <v>33755</v>
      </c>
      <c r="D158" s="57"/>
      <c r="E158" s="57"/>
      <c r="F158" s="58"/>
      <c r="G158" s="114"/>
      <c r="H158" s="114"/>
      <c r="I158" s="114"/>
      <c r="J158" s="115"/>
      <c r="K158" s="116"/>
      <c r="L158" s="116"/>
      <c r="M158" s="116"/>
      <c r="N158" s="116"/>
      <c r="O158" s="117"/>
      <c r="P158" s="114"/>
      <c r="Q158" s="114"/>
      <c r="R158" s="114"/>
      <c r="S158" s="128"/>
      <c r="T158" s="128"/>
      <c r="U158" s="128"/>
      <c r="V158" s="129"/>
      <c r="W158" s="130"/>
      <c r="X158" s="130"/>
      <c r="Y158" s="130"/>
      <c r="Z158" s="130"/>
      <c r="AA158" s="130"/>
      <c r="AB158" s="130"/>
      <c r="AC158" s="130"/>
      <c r="AD158" s="130"/>
      <c r="AE158" s="130"/>
      <c r="AF158" s="130"/>
      <c r="AG158" s="130"/>
      <c r="AH158" s="130"/>
      <c r="AI158" s="130"/>
      <c r="AJ158" s="130"/>
      <c r="AK158" s="130"/>
      <c r="AL158" s="130"/>
      <c r="AM158" s="131"/>
      <c r="AN158" s="114"/>
      <c r="AO158" s="114"/>
      <c r="AP158" s="114"/>
      <c r="AQ158" s="114"/>
      <c r="AR158" s="114"/>
      <c r="AS158" s="114"/>
      <c r="AT158" s="114"/>
      <c r="AU158" s="62"/>
      <c r="AV158" s="63"/>
      <c r="AW158" s="64"/>
      <c r="AX158" s="62"/>
      <c r="AY158" s="62"/>
      <c r="AZ158" s="62"/>
      <c r="BA158" s="62"/>
      <c r="BB158" s="62"/>
      <c r="BC158" s="62"/>
      <c r="BD158" s="62"/>
      <c r="BE158" s="62"/>
      <c r="BF158" s="63"/>
      <c r="BG158" s="68"/>
      <c r="BH158" s="69"/>
      <c r="BI158" s="69"/>
      <c r="BJ158" s="69"/>
      <c r="BK158" s="69"/>
      <c r="BL158" s="70"/>
      <c r="BM158" s="52"/>
      <c r="BO158" s="74"/>
      <c r="BP158" s="75"/>
      <c r="BQ158" s="54"/>
      <c r="BR158" s="74"/>
      <c r="BS158" s="75"/>
      <c r="BT158" s="75"/>
      <c r="BU158" s="75"/>
      <c r="BV158" s="75"/>
      <c r="BW158" s="54"/>
      <c r="BX158" s="38"/>
      <c r="BY158" s="55"/>
      <c r="BZ158" s="55"/>
    </row>
    <row r="159" spans="1:78" s="3" customFormat="1" ht="30.75" customHeight="1" x14ac:dyDescent="0.2">
      <c r="A159" s="108"/>
      <c r="B159" s="164"/>
      <c r="C159" s="59" t="str">
        <f>CONCATENATE("&lt;",SUM(DATEDIF(C157,C158,"M"),1),"ヶ月&gt;")</f>
        <v>&lt;5ヶ月&gt;</v>
      </c>
      <c r="D159" s="60"/>
      <c r="E159" s="60"/>
      <c r="F159" s="61"/>
      <c r="G159" s="114"/>
      <c r="H159" s="114"/>
      <c r="I159" s="114"/>
      <c r="J159" s="118"/>
      <c r="K159" s="119"/>
      <c r="L159" s="119"/>
      <c r="M159" s="119"/>
      <c r="N159" s="119"/>
      <c r="O159" s="120"/>
      <c r="P159" s="114"/>
      <c r="Q159" s="114"/>
      <c r="R159" s="114"/>
      <c r="S159" s="128"/>
      <c r="T159" s="128"/>
      <c r="U159" s="128"/>
      <c r="V159" s="132"/>
      <c r="W159" s="133"/>
      <c r="X159" s="133"/>
      <c r="Y159" s="133"/>
      <c r="Z159" s="133"/>
      <c r="AA159" s="133"/>
      <c r="AB159" s="133"/>
      <c r="AC159" s="133"/>
      <c r="AD159" s="133"/>
      <c r="AE159" s="133"/>
      <c r="AF159" s="133"/>
      <c r="AG159" s="133"/>
      <c r="AH159" s="133"/>
      <c r="AI159" s="133"/>
      <c r="AJ159" s="133"/>
      <c r="AK159" s="133"/>
      <c r="AL159" s="133"/>
      <c r="AM159" s="134"/>
      <c r="AN159" s="114"/>
      <c r="AO159" s="114"/>
      <c r="AP159" s="114"/>
      <c r="AQ159" s="114"/>
      <c r="AR159" s="114"/>
      <c r="AS159" s="114"/>
      <c r="AT159" s="114"/>
      <c r="AU159" s="62"/>
      <c r="AV159" s="63"/>
      <c r="AW159" s="64"/>
      <c r="AX159" s="62"/>
      <c r="AY159" s="62"/>
      <c r="AZ159" s="62"/>
      <c r="BA159" s="62"/>
      <c r="BB159" s="62"/>
      <c r="BC159" s="62"/>
      <c r="BD159" s="62"/>
      <c r="BE159" s="62"/>
      <c r="BF159" s="63"/>
      <c r="BG159" s="71"/>
      <c r="BH159" s="72"/>
      <c r="BI159" s="72"/>
      <c r="BJ159" s="72"/>
      <c r="BK159" s="72"/>
      <c r="BL159" s="73"/>
      <c r="BM159" s="52"/>
      <c r="BO159" s="74"/>
      <c r="BP159" s="75"/>
      <c r="BQ159" s="54"/>
      <c r="BR159" s="74"/>
      <c r="BS159" s="75"/>
      <c r="BT159" s="75"/>
      <c r="BU159" s="75"/>
      <c r="BV159" s="75"/>
      <c r="BW159" s="54"/>
      <c r="BX159" s="38"/>
      <c r="BY159" s="55"/>
      <c r="BZ159" s="55"/>
    </row>
    <row r="160" spans="1:78" s="3" customFormat="1" ht="18.649999999999999" customHeight="1" x14ac:dyDescent="0.2">
      <c r="A160" s="104">
        <f t="shared" si="248"/>
        <v>4</v>
      </c>
      <c r="B160" s="162"/>
      <c r="C160" s="179">
        <v>33512</v>
      </c>
      <c r="D160" s="180"/>
      <c r="E160" s="180"/>
      <c r="F160" s="180"/>
      <c r="G160" s="165" t="s">
        <v>266</v>
      </c>
      <c r="H160" s="114"/>
      <c r="I160" s="114"/>
      <c r="J160" s="168" t="s">
        <v>267</v>
      </c>
      <c r="K160" s="169"/>
      <c r="L160" s="169"/>
      <c r="M160" s="169"/>
      <c r="N160" s="169"/>
      <c r="O160" s="170"/>
      <c r="P160" s="114">
        <v>10</v>
      </c>
      <c r="Q160" s="114"/>
      <c r="R160" s="114"/>
      <c r="S160" s="128" t="s">
        <v>30</v>
      </c>
      <c r="T160" s="128"/>
      <c r="U160" s="128"/>
      <c r="V160" s="184" t="s">
        <v>268</v>
      </c>
      <c r="W160" s="185"/>
      <c r="X160" s="185"/>
      <c r="Y160" s="185"/>
      <c r="Z160" s="185"/>
      <c r="AA160" s="185"/>
      <c r="AB160" s="185"/>
      <c r="AC160" s="185"/>
      <c r="AD160" s="185"/>
      <c r="AE160" s="185"/>
      <c r="AF160" s="185"/>
      <c r="AG160" s="185"/>
      <c r="AH160" s="185"/>
      <c r="AI160" s="185"/>
      <c r="AJ160" s="185"/>
      <c r="AK160" s="185"/>
      <c r="AL160" s="185"/>
      <c r="AM160" s="186"/>
      <c r="AN160" s="165" t="s">
        <v>262</v>
      </c>
      <c r="AO160" s="114"/>
      <c r="AP160" s="114"/>
      <c r="AQ160" s="114"/>
      <c r="AR160" s="114"/>
      <c r="AS160" s="114"/>
      <c r="AT160" s="114"/>
      <c r="AU160" s="62"/>
      <c r="AV160" s="63" t="s">
        <v>41</v>
      </c>
      <c r="AW160" s="64"/>
      <c r="AX160" s="62"/>
      <c r="AY160" s="62"/>
      <c r="AZ160" s="62" t="s">
        <v>40</v>
      </c>
      <c r="BA160" s="62" t="s">
        <v>40</v>
      </c>
      <c r="BB160" s="62" t="s">
        <v>40</v>
      </c>
      <c r="BC160" s="62" t="s">
        <v>40</v>
      </c>
      <c r="BD160" s="62"/>
      <c r="BE160" s="62"/>
      <c r="BF160" s="63"/>
      <c r="BG160" s="65"/>
      <c r="BH160" s="66"/>
      <c r="BI160" s="66"/>
      <c r="BJ160" s="66"/>
      <c r="BK160" s="66"/>
      <c r="BL160" s="67"/>
      <c r="BM160" s="52"/>
      <c r="BO160" s="74" t="e">
        <f>IF(#REF!="●",SUM(DATEDIF($C160,$C161,"M"),1),"")</f>
        <v>#REF!</v>
      </c>
      <c r="BP160" s="75" t="str">
        <f>IF(AU160="●",SUM(DATEDIF($C160,$C161,"M"),1),"")</f>
        <v/>
      </c>
      <c r="BQ160" s="54">
        <f>IF(AV160="●",SUM(DATEDIF($C160,$C161,"M"),1),"")</f>
        <v>3</v>
      </c>
      <c r="BR160" s="74" t="str">
        <f t="shared" ref="BR160" si="284">IF(BR$38=$S160,SUM(DATEDIF($C160,$C161,"M"),1),"")</f>
        <v/>
      </c>
      <c r="BS160" s="75" t="str">
        <f t="shared" ref="BS160" si="285">IF(BS$38=$S160,SUM(DATEDIF($C160,$C161,"M"),1),"")</f>
        <v/>
      </c>
      <c r="BT160" s="75" t="str">
        <f t="shared" ref="BT160" si="286">IF(BT$38=$S160,SUM(DATEDIF($C160,$C161,"M"),1),"")</f>
        <v/>
      </c>
      <c r="BU160" s="75" t="str">
        <f t="shared" ref="BU160" si="287">IF(BU$38=$S160,SUM(DATEDIF($C160,$C161,"M"),1),"")</f>
        <v/>
      </c>
      <c r="BV160" s="75" t="str">
        <f t="shared" ref="BV160" si="288">IF(BV$38=$S160,SUM(DATEDIF($C160,$C161,"M"),1),"")</f>
        <v/>
      </c>
      <c r="BW160" s="54">
        <f t="shared" ref="BW160" si="289">IF(BW$38=$S160,SUM(DATEDIF($C160,$C161,"M"),1),"")</f>
        <v>3</v>
      </c>
      <c r="BX160" s="38"/>
      <c r="BY160" s="55">
        <f t="shared" ref="BY160" si="290">SUM(BR160:BW162)</f>
        <v>3</v>
      </c>
      <c r="BZ160" s="55" t="str">
        <f>C162</f>
        <v>&lt;3ヶ月&gt;</v>
      </c>
    </row>
    <row r="161" spans="1:78" s="3" customFormat="1" ht="18.649999999999999" customHeight="1" x14ac:dyDescent="0.2">
      <c r="A161" s="106"/>
      <c r="B161" s="163"/>
      <c r="C161" s="56">
        <v>33603</v>
      </c>
      <c r="D161" s="57"/>
      <c r="E161" s="57"/>
      <c r="F161" s="58"/>
      <c r="G161" s="114"/>
      <c r="H161" s="114"/>
      <c r="I161" s="114"/>
      <c r="J161" s="115"/>
      <c r="K161" s="116"/>
      <c r="L161" s="116"/>
      <c r="M161" s="116"/>
      <c r="N161" s="116"/>
      <c r="O161" s="117"/>
      <c r="P161" s="114"/>
      <c r="Q161" s="114"/>
      <c r="R161" s="114"/>
      <c r="S161" s="128"/>
      <c r="T161" s="128"/>
      <c r="U161" s="128"/>
      <c r="V161" s="129"/>
      <c r="W161" s="130"/>
      <c r="X161" s="130"/>
      <c r="Y161" s="130"/>
      <c r="Z161" s="130"/>
      <c r="AA161" s="130"/>
      <c r="AB161" s="130"/>
      <c r="AC161" s="130"/>
      <c r="AD161" s="130"/>
      <c r="AE161" s="130"/>
      <c r="AF161" s="130"/>
      <c r="AG161" s="130"/>
      <c r="AH161" s="130"/>
      <c r="AI161" s="130"/>
      <c r="AJ161" s="130"/>
      <c r="AK161" s="130"/>
      <c r="AL161" s="130"/>
      <c r="AM161" s="131"/>
      <c r="AN161" s="114"/>
      <c r="AO161" s="114"/>
      <c r="AP161" s="114"/>
      <c r="AQ161" s="114"/>
      <c r="AR161" s="114"/>
      <c r="AS161" s="114"/>
      <c r="AT161" s="114"/>
      <c r="AU161" s="62"/>
      <c r="AV161" s="63"/>
      <c r="AW161" s="64"/>
      <c r="AX161" s="62"/>
      <c r="AY161" s="62"/>
      <c r="AZ161" s="62"/>
      <c r="BA161" s="62"/>
      <c r="BB161" s="62"/>
      <c r="BC161" s="62"/>
      <c r="BD161" s="62"/>
      <c r="BE161" s="62"/>
      <c r="BF161" s="63"/>
      <c r="BG161" s="68"/>
      <c r="BH161" s="69"/>
      <c r="BI161" s="69"/>
      <c r="BJ161" s="69"/>
      <c r="BK161" s="69"/>
      <c r="BL161" s="70"/>
      <c r="BM161" s="52"/>
      <c r="BO161" s="74"/>
      <c r="BP161" s="75"/>
      <c r="BQ161" s="54"/>
      <c r="BR161" s="74"/>
      <c r="BS161" s="75"/>
      <c r="BT161" s="75"/>
      <c r="BU161" s="75"/>
      <c r="BV161" s="75"/>
      <c r="BW161" s="54"/>
      <c r="BX161" s="38"/>
      <c r="BY161" s="55"/>
      <c r="BZ161" s="55"/>
    </row>
    <row r="162" spans="1:78" s="3" customFormat="1" ht="36.75" customHeight="1" x14ac:dyDescent="0.2">
      <c r="A162" s="108"/>
      <c r="B162" s="164"/>
      <c r="C162" s="59" t="str">
        <f>CONCATENATE("&lt;",SUM(DATEDIF(C160,C161,"M"),1),"ヶ月&gt;")</f>
        <v>&lt;3ヶ月&gt;</v>
      </c>
      <c r="D162" s="60"/>
      <c r="E162" s="60"/>
      <c r="F162" s="61"/>
      <c r="G162" s="114"/>
      <c r="H162" s="114"/>
      <c r="I162" s="114"/>
      <c r="J162" s="118"/>
      <c r="K162" s="119"/>
      <c r="L162" s="119"/>
      <c r="M162" s="119"/>
      <c r="N162" s="119"/>
      <c r="O162" s="120"/>
      <c r="P162" s="114"/>
      <c r="Q162" s="114"/>
      <c r="R162" s="114"/>
      <c r="S162" s="128"/>
      <c r="T162" s="128"/>
      <c r="U162" s="128"/>
      <c r="V162" s="132"/>
      <c r="W162" s="133"/>
      <c r="X162" s="133"/>
      <c r="Y162" s="133"/>
      <c r="Z162" s="133"/>
      <c r="AA162" s="133"/>
      <c r="AB162" s="133"/>
      <c r="AC162" s="133"/>
      <c r="AD162" s="133"/>
      <c r="AE162" s="133"/>
      <c r="AF162" s="133"/>
      <c r="AG162" s="133"/>
      <c r="AH162" s="133"/>
      <c r="AI162" s="133"/>
      <c r="AJ162" s="133"/>
      <c r="AK162" s="133"/>
      <c r="AL162" s="133"/>
      <c r="AM162" s="134"/>
      <c r="AN162" s="114"/>
      <c r="AO162" s="114"/>
      <c r="AP162" s="114"/>
      <c r="AQ162" s="114"/>
      <c r="AR162" s="114"/>
      <c r="AS162" s="114"/>
      <c r="AT162" s="114"/>
      <c r="AU162" s="62"/>
      <c r="AV162" s="63"/>
      <c r="AW162" s="64"/>
      <c r="AX162" s="62"/>
      <c r="AY162" s="62"/>
      <c r="AZ162" s="62"/>
      <c r="BA162" s="62"/>
      <c r="BB162" s="62"/>
      <c r="BC162" s="62"/>
      <c r="BD162" s="62"/>
      <c r="BE162" s="62"/>
      <c r="BF162" s="63"/>
      <c r="BG162" s="71"/>
      <c r="BH162" s="72"/>
      <c r="BI162" s="72"/>
      <c r="BJ162" s="72"/>
      <c r="BK162" s="72"/>
      <c r="BL162" s="73"/>
      <c r="BM162" s="52"/>
      <c r="BO162" s="74"/>
      <c r="BP162" s="75"/>
      <c r="BQ162" s="54"/>
      <c r="BR162" s="74"/>
      <c r="BS162" s="75"/>
      <c r="BT162" s="75"/>
      <c r="BU162" s="75"/>
      <c r="BV162" s="75"/>
      <c r="BW162" s="54"/>
      <c r="BX162" s="38"/>
      <c r="BY162" s="55"/>
      <c r="BZ162" s="55"/>
    </row>
    <row r="163" spans="1:78" s="3" customFormat="1" ht="18.649999999999999" customHeight="1" x14ac:dyDescent="0.2">
      <c r="A163" s="104">
        <f t="shared" si="248"/>
        <v>3</v>
      </c>
      <c r="B163" s="162"/>
      <c r="C163" s="179">
        <v>32874</v>
      </c>
      <c r="D163" s="180"/>
      <c r="E163" s="180"/>
      <c r="F163" s="180"/>
      <c r="G163" s="168" t="s">
        <v>269</v>
      </c>
      <c r="H163" s="169"/>
      <c r="I163" s="170"/>
      <c r="J163" s="168" t="s">
        <v>270</v>
      </c>
      <c r="K163" s="169"/>
      <c r="L163" s="169"/>
      <c r="M163" s="169"/>
      <c r="N163" s="169"/>
      <c r="O163" s="170"/>
      <c r="P163" s="114">
        <v>10</v>
      </c>
      <c r="Q163" s="114"/>
      <c r="R163" s="114"/>
      <c r="S163" s="128" t="s">
        <v>30</v>
      </c>
      <c r="T163" s="128"/>
      <c r="U163" s="128"/>
      <c r="V163" s="184" t="s">
        <v>271</v>
      </c>
      <c r="W163" s="185"/>
      <c r="X163" s="185"/>
      <c r="Y163" s="185"/>
      <c r="Z163" s="185"/>
      <c r="AA163" s="185"/>
      <c r="AB163" s="185"/>
      <c r="AC163" s="185"/>
      <c r="AD163" s="185"/>
      <c r="AE163" s="185"/>
      <c r="AF163" s="185"/>
      <c r="AG163" s="185"/>
      <c r="AH163" s="185"/>
      <c r="AI163" s="185"/>
      <c r="AJ163" s="185"/>
      <c r="AK163" s="185"/>
      <c r="AL163" s="185"/>
      <c r="AM163" s="186"/>
      <c r="AN163" s="165" t="s">
        <v>262</v>
      </c>
      <c r="AO163" s="114"/>
      <c r="AP163" s="114"/>
      <c r="AQ163" s="114"/>
      <c r="AR163" s="114"/>
      <c r="AS163" s="114"/>
      <c r="AT163" s="114"/>
      <c r="AU163" s="62"/>
      <c r="AV163" s="63" t="s">
        <v>41</v>
      </c>
      <c r="AW163" s="64"/>
      <c r="AX163" s="62"/>
      <c r="AY163" s="62"/>
      <c r="AZ163" s="62" t="s">
        <v>40</v>
      </c>
      <c r="BA163" s="62" t="s">
        <v>40</v>
      </c>
      <c r="BB163" s="62" t="s">
        <v>40</v>
      </c>
      <c r="BC163" s="62"/>
      <c r="BD163" s="62"/>
      <c r="BE163" s="62"/>
      <c r="BF163" s="63"/>
      <c r="BG163" s="65"/>
      <c r="BH163" s="66"/>
      <c r="BI163" s="66"/>
      <c r="BJ163" s="66"/>
      <c r="BK163" s="66"/>
      <c r="BL163" s="67"/>
      <c r="BM163" s="52"/>
      <c r="BO163" s="74" t="e">
        <f>IF(#REF!="●",SUM(DATEDIF($C163,$C164,"M"),1),"")</f>
        <v>#REF!</v>
      </c>
      <c r="BP163" s="75" t="str">
        <f>IF(AU163="●",SUM(DATEDIF($C163,$C164,"M"),1),"")</f>
        <v/>
      </c>
      <c r="BQ163" s="54">
        <f>IF(AV163="●",SUM(DATEDIF($C163,$C164,"M"),1),"")</f>
        <v>21</v>
      </c>
      <c r="BR163" s="74" t="str">
        <f t="shared" ref="BR163" si="291">IF(BR$38=$S163,SUM(DATEDIF($C163,$C164,"M"),1),"")</f>
        <v/>
      </c>
      <c r="BS163" s="75" t="str">
        <f t="shared" ref="BS163" si="292">IF(BS$38=$S163,SUM(DATEDIF($C163,$C164,"M"),1),"")</f>
        <v/>
      </c>
      <c r="BT163" s="75" t="str">
        <f t="shared" ref="BT163" si="293">IF(BT$38=$S163,SUM(DATEDIF($C163,$C164,"M"),1),"")</f>
        <v/>
      </c>
      <c r="BU163" s="75" t="str">
        <f t="shared" ref="BU163" si="294">IF(BU$38=$S163,SUM(DATEDIF($C163,$C164,"M"),1),"")</f>
        <v/>
      </c>
      <c r="BV163" s="75" t="str">
        <f t="shared" ref="BV163" si="295">IF(BV$38=$S163,SUM(DATEDIF($C163,$C164,"M"),1),"")</f>
        <v/>
      </c>
      <c r="BW163" s="54">
        <f t="shared" ref="BW163" si="296">IF(BW$38=$S163,SUM(DATEDIF($C163,$C164,"M"),1),"")</f>
        <v>21</v>
      </c>
      <c r="BX163" s="38"/>
      <c r="BY163" s="55">
        <f t="shared" ref="BY163" si="297">SUM(BR163:BW165)</f>
        <v>21</v>
      </c>
      <c r="BZ163" s="55" t="str">
        <f>C165</f>
        <v>&lt;21ヶ月&gt;</v>
      </c>
    </row>
    <row r="164" spans="1:78" s="3" customFormat="1" ht="18.649999999999999" customHeight="1" x14ac:dyDescent="0.2">
      <c r="A164" s="106"/>
      <c r="B164" s="163"/>
      <c r="C164" s="56">
        <v>33511</v>
      </c>
      <c r="D164" s="57"/>
      <c r="E164" s="57"/>
      <c r="F164" s="58"/>
      <c r="G164" s="115"/>
      <c r="H164" s="116"/>
      <c r="I164" s="117"/>
      <c r="J164" s="115"/>
      <c r="K164" s="116"/>
      <c r="L164" s="116"/>
      <c r="M164" s="116"/>
      <c r="N164" s="116"/>
      <c r="O164" s="117"/>
      <c r="P164" s="114"/>
      <c r="Q164" s="114"/>
      <c r="R164" s="114"/>
      <c r="S164" s="128"/>
      <c r="T164" s="128"/>
      <c r="U164" s="128"/>
      <c r="V164" s="129"/>
      <c r="W164" s="130"/>
      <c r="X164" s="130"/>
      <c r="Y164" s="130"/>
      <c r="Z164" s="130"/>
      <c r="AA164" s="130"/>
      <c r="AB164" s="130"/>
      <c r="AC164" s="130"/>
      <c r="AD164" s="130"/>
      <c r="AE164" s="130"/>
      <c r="AF164" s="130"/>
      <c r="AG164" s="130"/>
      <c r="AH164" s="130"/>
      <c r="AI164" s="130"/>
      <c r="AJ164" s="130"/>
      <c r="AK164" s="130"/>
      <c r="AL164" s="130"/>
      <c r="AM164" s="131"/>
      <c r="AN164" s="114"/>
      <c r="AO164" s="114"/>
      <c r="AP164" s="114"/>
      <c r="AQ164" s="114"/>
      <c r="AR164" s="114"/>
      <c r="AS164" s="114"/>
      <c r="AT164" s="114"/>
      <c r="AU164" s="62"/>
      <c r="AV164" s="63"/>
      <c r="AW164" s="64"/>
      <c r="AX164" s="62"/>
      <c r="AY164" s="62"/>
      <c r="AZ164" s="62"/>
      <c r="BA164" s="62"/>
      <c r="BB164" s="62"/>
      <c r="BC164" s="62"/>
      <c r="BD164" s="62"/>
      <c r="BE164" s="62"/>
      <c r="BF164" s="63"/>
      <c r="BG164" s="68"/>
      <c r="BH164" s="69"/>
      <c r="BI164" s="69"/>
      <c r="BJ164" s="69"/>
      <c r="BK164" s="69"/>
      <c r="BL164" s="70"/>
      <c r="BM164" s="52"/>
      <c r="BO164" s="74"/>
      <c r="BP164" s="75"/>
      <c r="BQ164" s="54"/>
      <c r="BR164" s="74"/>
      <c r="BS164" s="75"/>
      <c r="BT164" s="75"/>
      <c r="BU164" s="75"/>
      <c r="BV164" s="75"/>
      <c r="BW164" s="54"/>
      <c r="BX164" s="38"/>
      <c r="BY164" s="55"/>
      <c r="BZ164" s="55"/>
    </row>
    <row r="165" spans="1:78" s="3" customFormat="1" ht="50.25" customHeight="1" x14ac:dyDescent="0.2">
      <c r="A165" s="108"/>
      <c r="B165" s="164"/>
      <c r="C165" s="59" t="str">
        <f>CONCATENATE("&lt;",SUM(DATEDIF(C163,C164,"M"),1),"ヶ月&gt;")</f>
        <v>&lt;21ヶ月&gt;</v>
      </c>
      <c r="D165" s="60"/>
      <c r="E165" s="60"/>
      <c r="F165" s="61"/>
      <c r="G165" s="118"/>
      <c r="H165" s="119"/>
      <c r="I165" s="120"/>
      <c r="J165" s="118"/>
      <c r="K165" s="119"/>
      <c r="L165" s="119"/>
      <c r="M165" s="119"/>
      <c r="N165" s="119"/>
      <c r="O165" s="120"/>
      <c r="P165" s="114"/>
      <c r="Q165" s="114"/>
      <c r="R165" s="114"/>
      <c r="S165" s="128"/>
      <c r="T165" s="128"/>
      <c r="U165" s="128"/>
      <c r="V165" s="132"/>
      <c r="W165" s="133"/>
      <c r="X165" s="133"/>
      <c r="Y165" s="133"/>
      <c r="Z165" s="133"/>
      <c r="AA165" s="133"/>
      <c r="AB165" s="133"/>
      <c r="AC165" s="133"/>
      <c r="AD165" s="133"/>
      <c r="AE165" s="133"/>
      <c r="AF165" s="133"/>
      <c r="AG165" s="133"/>
      <c r="AH165" s="133"/>
      <c r="AI165" s="133"/>
      <c r="AJ165" s="133"/>
      <c r="AK165" s="133"/>
      <c r="AL165" s="133"/>
      <c r="AM165" s="134"/>
      <c r="AN165" s="114"/>
      <c r="AO165" s="114"/>
      <c r="AP165" s="114"/>
      <c r="AQ165" s="114"/>
      <c r="AR165" s="114"/>
      <c r="AS165" s="114"/>
      <c r="AT165" s="114"/>
      <c r="AU165" s="62"/>
      <c r="AV165" s="63"/>
      <c r="AW165" s="64"/>
      <c r="AX165" s="62"/>
      <c r="AY165" s="62"/>
      <c r="AZ165" s="62"/>
      <c r="BA165" s="62"/>
      <c r="BB165" s="62"/>
      <c r="BC165" s="62"/>
      <c r="BD165" s="62"/>
      <c r="BE165" s="62"/>
      <c r="BF165" s="63"/>
      <c r="BG165" s="71"/>
      <c r="BH165" s="72"/>
      <c r="BI165" s="72"/>
      <c r="BJ165" s="72"/>
      <c r="BK165" s="72"/>
      <c r="BL165" s="73"/>
      <c r="BM165" s="52"/>
      <c r="BO165" s="74"/>
      <c r="BP165" s="75"/>
      <c r="BQ165" s="54"/>
      <c r="BR165" s="74"/>
      <c r="BS165" s="75"/>
      <c r="BT165" s="75"/>
      <c r="BU165" s="75"/>
      <c r="BV165" s="75"/>
      <c r="BW165" s="54"/>
      <c r="BX165" s="38"/>
      <c r="BY165" s="55"/>
      <c r="BZ165" s="55"/>
    </row>
    <row r="166" spans="1:78" s="3" customFormat="1" ht="18.649999999999999" customHeight="1" x14ac:dyDescent="0.2">
      <c r="A166" s="104">
        <f t="shared" si="248"/>
        <v>2</v>
      </c>
      <c r="B166" s="162"/>
      <c r="C166" s="179">
        <v>32813</v>
      </c>
      <c r="D166" s="180"/>
      <c r="E166" s="180"/>
      <c r="F166" s="180"/>
      <c r="G166" s="165" t="s">
        <v>272</v>
      </c>
      <c r="H166" s="114"/>
      <c r="I166" s="114"/>
      <c r="J166" s="168" t="s">
        <v>273</v>
      </c>
      <c r="K166" s="169"/>
      <c r="L166" s="169"/>
      <c r="M166" s="169"/>
      <c r="N166" s="169"/>
      <c r="O166" s="170"/>
      <c r="P166" s="114">
        <v>10</v>
      </c>
      <c r="Q166" s="114"/>
      <c r="R166" s="114"/>
      <c r="S166" s="128" t="s">
        <v>30</v>
      </c>
      <c r="T166" s="128"/>
      <c r="U166" s="128"/>
      <c r="V166" s="184" t="s">
        <v>274</v>
      </c>
      <c r="W166" s="185"/>
      <c r="X166" s="185"/>
      <c r="Y166" s="185"/>
      <c r="Z166" s="185"/>
      <c r="AA166" s="185"/>
      <c r="AB166" s="185"/>
      <c r="AC166" s="185"/>
      <c r="AD166" s="185"/>
      <c r="AE166" s="185"/>
      <c r="AF166" s="185"/>
      <c r="AG166" s="185"/>
      <c r="AH166" s="185"/>
      <c r="AI166" s="185"/>
      <c r="AJ166" s="185"/>
      <c r="AK166" s="185"/>
      <c r="AL166" s="185"/>
      <c r="AM166" s="186"/>
      <c r="AN166" s="165" t="s">
        <v>262</v>
      </c>
      <c r="AO166" s="114"/>
      <c r="AP166" s="114"/>
      <c r="AQ166" s="114"/>
      <c r="AR166" s="114"/>
      <c r="AS166" s="114"/>
      <c r="AT166" s="114"/>
      <c r="AU166" s="62"/>
      <c r="AV166" s="63" t="s">
        <v>41</v>
      </c>
      <c r="AW166" s="64"/>
      <c r="AX166" s="62"/>
      <c r="AY166" s="62"/>
      <c r="AZ166" s="62" t="s">
        <v>40</v>
      </c>
      <c r="BA166" s="62" t="s">
        <v>40</v>
      </c>
      <c r="BB166" s="62" t="s">
        <v>40</v>
      </c>
      <c r="BC166" s="62"/>
      <c r="BD166" s="62"/>
      <c r="BE166" s="62"/>
      <c r="BF166" s="63"/>
      <c r="BG166" s="65"/>
      <c r="BH166" s="66"/>
      <c r="BI166" s="66"/>
      <c r="BJ166" s="66"/>
      <c r="BK166" s="66"/>
      <c r="BL166" s="67"/>
      <c r="BM166" s="52"/>
      <c r="BO166" s="74" t="e">
        <f>IF(#REF!="●",SUM(DATEDIF($C166,$C167,"M"),1),"")</f>
        <v>#REF!</v>
      </c>
      <c r="BP166" s="75" t="str">
        <f>IF(AU166="●",SUM(DATEDIF($C166,$C167,"M"),1),"")</f>
        <v/>
      </c>
      <c r="BQ166" s="54">
        <f>IF(AV166="●",SUM(DATEDIF($C166,$C167,"M"),1),"")</f>
        <v>2</v>
      </c>
      <c r="BR166" s="74" t="str">
        <f t="shared" ref="BR166" si="298">IF(BR$38=$S166,SUM(DATEDIF($C166,$C167,"M"),1),"")</f>
        <v/>
      </c>
      <c r="BS166" s="75" t="str">
        <f t="shared" ref="BS166" si="299">IF(BS$38=$S166,SUM(DATEDIF($C166,$C167,"M"),1),"")</f>
        <v/>
      </c>
      <c r="BT166" s="75" t="str">
        <f t="shared" ref="BT166" si="300">IF(BT$38=$S166,SUM(DATEDIF($C166,$C167,"M"),1),"")</f>
        <v/>
      </c>
      <c r="BU166" s="75" t="str">
        <f t="shared" ref="BU166" si="301">IF(BU$38=$S166,SUM(DATEDIF($C166,$C167,"M"),1),"")</f>
        <v/>
      </c>
      <c r="BV166" s="75" t="str">
        <f t="shared" ref="BV166" si="302">IF(BV$38=$S166,SUM(DATEDIF($C166,$C167,"M"),1),"")</f>
        <v/>
      </c>
      <c r="BW166" s="54">
        <f t="shared" ref="BW166" si="303">IF(BW$38=$S166,SUM(DATEDIF($C166,$C167,"M"),1),"")</f>
        <v>2</v>
      </c>
      <c r="BX166" s="38"/>
      <c r="BY166" s="55">
        <f t="shared" ref="BY166" si="304">SUM(BR166:BW168)</f>
        <v>2</v>
      </c>
      <c r="BZ166" s="55" t="str">
        <f>C168</f>
        <v>&lt;2ヶ月&gt;</v>
      </c>
    </row>
    <row r="167" spans="1:78" s="3" customFormat="1" ht="18.649999999999999" customHeight="1" x14ac:dyDescent="0.2">
      <c r="A167" s="106"/>
      <c r="B167" s="163"/>
      <c r="C167" s="56">
        <v>32873</v>
      </c>
      <c r="D167" s="57"/>
      <c r="E167" s="57"/>
      <c r="F167" s="58"/>
      <c r="G167" s="114"/>
      <c r="H167" s="114"/>
      <c r="I167" s="114"/>
      <c r="J167" s="115"/>
      <c r="K167" s="116"/>
      <c r="L167" s="116"/>
      <c r="M167" s="116"/>
      <c r="N167" s="116"/>
      <c r="O167" s="117"/>
      <c r="P167" s="114"/>
      <c r="Q167" s="114"/>
      <c r="R167" s="114"/>
      <c r="S167" s="128"/>
      <c r="T167" s="128"/>
      <c r="U167" s="128"/>
      <c r="V167" s="129"/>
      <c r="W167" s="130"/>
      <c r="X167" s="130"/>
      <c r="Y167" s="130"/>
      <c r="Z167" s="130"/>
      <c r="AA167" s="130"/>
      <c r="AB167" s="130"/>
      <c r="AC167" s="130"/>
      <c r="AD167" s="130"/>
      <c r="AE167" s="130"/>
      <c r="AF167" s="130"/>
      <c r="AG167" s="130"/>
      <c r="AH167" s="130"/>
      <c r="AI167" s="130"/>
      <c r="AJ167" s="130"/>
      <c r="AK167" s="130"/>
      <c r="AL167" s="130"/>
      <c r="AM167" s="131"/>
      <c r="AN167" s="114"/>
      <c r="AO167" s="114"/>
      <c r="AP167" s="114"/>
      <c r="AQ167" s="114"/>
      <c r="AR167" s="114"/>
      <c r="AS167" s="114"/>
      <c r="AT167" s="114"/>
      <c r="AU167" s="62"/>
      <c r="AV167" s="63"/>
      <c r="AW167" s="64"/>
      <c r="AX167" s="62"/>
      <c r="AY167" s="62"/>
      <c r="AZ167" s="62"/>
      <c r="BA167" s="62"/>
      <c r="BB167" s="62"/>
      <c r="BC167" s="62"/>
      <c r="BD167" s="62"/>
      <c r="BE167" s="62"/>
      <c r="BF167" s="63"/>
      <c r="BG167" s="68"/>
      <c r="BH167" s="69"/>
      <c r="BI167" s="69"/>
      <c r="BJ167" s="69"/>
      <c r="BK167" s="69"/>
      <c r="BL167" s="70"/>
      <c r="BM167" s="52"/>
      <c r="BO167" s="74"/>
      <c r="BP167" s="75"/>
      <c r="BQ167" s="54"/>
      <c r="BR167" s="74"/>
      <c r="BS167" s="75"/>
      <c r="BT167" s="75"/>
      <c r="BU167" s="75"/>
      <c r="BV167" s="75"/>
      <c r="BW167" s="54"/>
      <c r="BX167" s="38"/>
      <c r="BY167" s="55"/>
      <c r="BZ167" s="55"/>
    </row>
    <row r="168" spans="1:78" s="3" customFormat="1" ht="24.75" customHeight="1" x14ac:dyDescent="0.2">
      <c r="A168" s="108"/>
      <c r="B168" s="164"/>
      <c r="C168" s="59" t="str">
        <f>CONCATENATE("&lt;",SUM(DATEDIF(C166,C167,"M"),1),"ヶ月&gt;")</f>
        <v>&lt;2ヶ月&gt;</v>
      </c>
      <c r="D168" s="60"/>
      <c r="E168" s="60"/>
      <c r="F168" s="61"/>
      <c r="G168" s="114"/>
      <c r="H168" s="114"/>
      <c r="I168" s="114"/>
      <c r="J168" s="118"/>
      <c r="K168" s="119"/>
      <c r="L168" s="119"/>
      <c r="M168" s="119"/>
      <c r="N168" s="119"/>
      <c r="O168" s="120"/>
      <c r="P168" s="114"/>
      <c r="Q168" s="114"/>
      <c r="R168" s="114"/>
      <c r="S168" s="128"/>
      <c r="T168" s="128"/>
      <c r="U168" s="128"/>
      <c r="V168" s="132"/>
      <c r="W168" s="133"/>
      <c r="X168" s="133"/>
      <c r="Y168" s="133"/>
      <c r="Z168" s="133"/>
      <c r="AA168" s="133"/>
      <c r="AB168" s="133"/>
      <c r="AC168" s="133"/>
      <c r="AD168" s="133"/>
      <c r="AE168" s="133"/>
      <c r="AF168" s="133"/>
      <c r="AG168" s="133"/>
      <c r="AH168" s="133"/>
      <c r="AI168" s="133"/>
      <c r="AJ168" s="133"/>
      <c r="AK168" s="133"/>
      <c r="AL168" s="133"/>
      <c r="AM168" s="134"/>
      <c r="AN168" s="114"/>
      <c r="AO168" s="114"/>
      <c r="AP168" s="114"/>
      <c r="AQ168" s="114"/>
      <c r="AR168" s="114"/>
      <c r="AS168" s="114"/>
      <c r="AT168" s="114"/>
      <c r="AU168" s="161"/>
      <c r="AV168" s="258"/>
      <c r="AW168" s="160"/>
      <c r="AX168" s="161"/>
      <c r="AY168" s="62"/>
      <c r="AZ168" s="62"/>
      <c r="BA168" s="62"/>
      <c r="BB168" s="62"/>
      <c r="BC168" s="62"/>
      <c r="BD168" s="62"/>
      <c r="BE168" s="62"/>
      <c r="BF168" s="63"/>
      <c r="BG168" s="71"/>
      <c r="BH168" s="72"/>
      <c r="BI168" s="72"/>
      <c r="BJ168" s="72"/>
      <c r="BK168" s="72"/>
      <c r="BL168" s="73"/>
      <c r="BM168" s="52"/>
      <c r="BO168" s="74"/>
      <c r="BP168" s="75"/>
      <c r="BQ168" s="54"/>
      <c r="BR168" s="74"/>
      <c r="BS168" s="75"/>
      <c r="BT168" s="75"/>
      <c r="BU168" s="75"/>
      <c r="BV168" s="75"/>
      <c r="BW168" s="54"/>
      <c r="BX168" s="38"/>
      <c r="BY168" s="55"/>
      <c r="BZ168" s="55"/>
    </row>
    <row r="169" spans="1:78" s="3" customFormat="1" ht="18.649999999999999" customHeight="1" x14ac:dyDescent="0.2">
      <c r="A169" s="137">
        <v>1</v>
      </c>
      <c r="B169" s="138"/>
      <c r="C169" s="179">
        <v>32690</v>
      </c>
      <c r="D169" s="180"/>
      <c r="E169" s="180"/>
      <c r="F169" s="180"/>
      <c r="G169" s="168" t="s">
        <v>275</v>
      </c>
      <c r="H169" s="169"/>
      <c r="I169" s="170"/>
      <c r="J169" s="168" t="s">
        <v>276</v>
      </c>
      <c r="K169" s="169"/>
      <c r="L169" s="169"/>
      <c r="M169" s="169"/>
      <c r="N169" s="169"/>
      <c r="O169" s="170"/>
      <c r="P169" s="114">
        <v>30</v>
      </c>
      <c r="Q169" s="114"/>
      <c r="R169" s="114"/>
      <c r="S169" s="128" t="s">
        <v>30</v>
      </c>
      <c r="T169" s="128"/>
      <c r="U169" s="128"/>
      <c r="V169" s="184" t="s">
        <v>277</v>
      </c>
      <c r="W169" s="185"/>
      <c r="X169" s="185"/>
      <c r="Y169" s="185"/>
      <c r="Z169" s="185"/>
      <c r="AA169" s="185"/>
      <c r="AB169" s="185"/>
      <c r="AC169" s="185"/>
      <c r="AD169" s="185"/>
      <c r="AE169" s="185"/>
      <c r="AF169" s="185"/>
      <c r="AG169" s="185"/>
      <c r="AH169" s="185"/>
      <c r="AI169" s="185"/>
      <c r="AJ169" s="185"/>
      <c r="AK169" s="185"/>
      <c r="AL169" s="185"/>
      <c r="AM169" s="186"/>
      <c r="AN169" s="165" t="s">
        <v>262</v>
      </c>
      <c r="AO169" s="114"/>
      <c r="AP169" s="114"/>
      <c r="AQ169" s="114"/>
      <c r="AR169" s="114"/>
      <c r="AS169" s="114"/>
      <c r="AT169" s="114"/>
      <c r="AU169" s="62"/>
      <c r="AV169" s="63" t="s">
        <v>41</v>
      </c>
      <c r="AW169" s="64"/>
      <c r="AX169" s="62"/>
      <c r="AY169" s="62"/>
      <c r="AZ169" s="62" t="s">
        <v>40</v>
      </c>
      <c r="BA169" s="62" t="s">
        <v>40</v>
      </c>
      <c r="BB169" s="62" t="s">
        <v>40</v>
      </c>
      <c r="BC169" s="62"/>
      <c r="BD169" s="62"/>
      <c r="BE169" s="62"/>
      <c r="BF169" s="63"/>
      <c r="BG169" s="65"/>
      <c r="BH169" s="66"/>
      <c r="BI169" s="66"/>
      <c r="BJ169" s="66"/>
      <c r="BK169" s="66"/>
      <c r="BL169" s="67"/>
      <c r="BM169" s="52"/>
      <c r="BO169" s="74" t="e">
        <f>IF(#REF!="●",SUM(DATEDIF($C169,$C170,"M"),1),"")</f>
        <v>#REF!</v>
      </c>
      <c r="BP169" s="75" t="str">
        <f>IF(AU169="●",SUM(DATEDIF($C169,$C170,"M"),1),"")</f>
        <v/>
      </c>
      <c r="BQ169" s="54">
        <f>IF(AV169="●",SUM(DATEDIF($C169,$C170,"M"),1),"")</f>
        <v>4</v>
      </c>
      <c r="BR169" s="74" t="str">
        <f t="shared" ref="BR169" si="305">IF(BR$38=$S169,SUM(DATEDIF($C169,$C170,"M"),1),"")</f>
        <v/>
      </c>
      <c r="BS169" s="75" t="str">
        <f t="shared" ref="BS169" si="306">IF(BS$38=$S169,SUM(DATEDIF($C169,$C170,"M"),1),"")</f>
        <v/>
      </c>
      <c r="BT169" s="75" t="str">
        <f t="shared" ref="BT169" si="307">IF(BT$38=$S169,SUM(DATEDIF($C169,$C170,"M"),1),"")</f>
        <v/>
      </c>
      <c r="BU169" s="75" t="str">
        <f t="shared" ref="BU169" si="308">IF(BU$38=$S169,SUM(DATEDIF($C169,$C170,"M"),1),"")</f>
        <v/>
      </c>
      <c r="BV169" s="75" t="str">
        <f t="shared" ref="BV169" si="309">IF(BV$38=$S169,SUM(DATEDIF($C169,$C170,"M"),1),"")</f>
        <v/>
      </c>
      <c r="BW169" s="54">
        <f t="shared" ref="BW169" si="310">IF(BW$38=$S169,SUM(DATEDIF($C169,$C170,"M"),1),"")</f>
        <v>4</v>
      </c>
      <c r="BX169" s="38"/>
      <c r="BY169" s="55">
        <f t="shared" ref="BY169" si="311">SUM(BR169:BW171)</f>
        <v>4</v>
      </c>
      <c r="BZ169" s="55" t="str">
        <f>C171</f>
        <v>&lt;4ヶ月&gt;</v>
      </c>
    </row>
    <row r="170" spans="1:78" s="3" customFormat="1" ht="18.649999999999999" customHeight="1" x14ac:dyDescent="0.2">
      <c r="A170" s="137"/>
      <c r="B170" s="138"/>
      <c r="C170" s="56">
        <v>32812</v>
      </c>
      <c r="D170" s="57"/>
      <c r="E170" s="57"/>
      <c r="F170" s="58"/>
      <c r="G170" s="115"/>
      <c r="H170" s="116"/>
      <c r="I170" s="117"/>
      <c r="J170" s="115"/>
      <c r="K170" s="116"/>
      <c r="L170" s="116"/>
      <c r="M170" s="116"/>
      <c r="N170" s="116"/>
      <c r="O170" s="117"/>
      <c r="P170" s="114"/>
      <c r="Q170" s="114"/>
      <c r="R170" s="114"/>
      <c r="S170" s="128"/>
      <c r="T170" s="128"/>
      <c r="U170" s="128"/>
      <c r="V170" s="129"/>
      <c r="W170" s="130"/>
      <c r="X170" s="130"/>
      <c r="Y170" s="130"/>
      <c r="Z170" s="130"/>
      <c r="AA170" s="130"/>
      <c r="AB170" s="130"/>
      <c r="AC170" s="130"/>
      <c r="AD170" s="130"/>
      <c r="AE170" s="130"/>
      <c r="AF170" s="130"/>
      <c r="AG170" s="130"/>
      <c r="AH170" s="130"/>
      <c r="AI170" s="130"/>
      <c r="AJ170" s="130"/>
      <c r="AK170" s="130"/>
      <c r="AL170" s="130"/>
      <c r="AM170" s="131"/>
      <c r="AN170" s="114"/>
      <c r="AO170" s="114"/>
      <c r="AP170" s="114"/>
      <c r="AQ170" s="114"/>
      <c r="AR170" s="114"/>
      <c r="AS170" s="114"/>
      <c r="AT170" s="114"/>
      <c r="AU170" s="62"/>
      <c r="AV170" s="63"/>
      <c r="AW170" s="64"/>
      <c r="AX170" s="62"/>
      <c r="AY170" s="62"/>
      <c r="AZ170" s="62"/>
      <c r="BA170" s="62"/>
      <c r="BB170" s="62"/>
      <c r="BC170" s="62"/>
      <c r="BD170" s="62"/>
      <c r="BE170" s="62"/>
      <c r="BF170" s="63"/>
      <c r="BG170" s="68"/>
      <c r="BH170" s="69"/>
      <c r="BI170" s="69"/>
      <c r="BJ170" s="69"/>
      <c r="BK170" s="69"/>
      <c r="BL170" s="70"/>
      <c r="BM170" s="52"/>
      <c r="BO170" s="74"/>
      <c r="BP170" s="75"/>
      <c r="BQ170" s="54"/>
      <c r="BR170" s="74"/>
      <c r="BS170" s="75"/>
      <c r="BT170" s="75"/>
      <c r="BU170" s="75"/>
      <c r="BV170" s="75"/>
      <c r="BW170" s="54"/>
      <c r="BX170" s="38"/>
      <c r="BY170" s="55"/>
      <c r="BZ170" s="55"/>
    </row>
    <row r="171" spans="1:78" s="3" customFormat="1" ht="24.75" customHeight="1" thickBot="1" x14ac:dyDescent="0.25">
      <c r="A171" s="166"/>
      <c r="B171" s="167"/>
      <c r="C171" s="181" t="str">
        <f>CONCATENATE("&lt;",SUM(DATEDIF(C169,C170,"M"),1),"ヶ月&gt;")</f>
        <v>&lt;4ヶ月&gt;</v>
      </c>
      <c r="D171" s="182"/>
      <c r="E171" s="182"/>
      <c r="F171" s="183"/>
      <c r="G171" s="171"/>
      <c r="H171" s="172"/>
      <c r="I171" s="173"/>
      <c r="J171" s="171"/>
      <c r="K171" s="172"/>
      <c r="L171" s="172"/>
      <c r="M171" s="172"/>
      <c r="N171" s="172"/>
      <c r="O171" s="173"/>
      <c r="P171" s="174"/>
      <c r="Q171" s="174"/>
      <c r="R171" s="174"/>
      <c r="S171" s="175"/>
      <c r="T171" s="175"/>
      <c r="U171" s="175"/>
      <c r="V171" s="280"/>
      <c r="W171" s="281"/>
      <c r="X171" s="281"/>
      <c r="Y171" s="281"/>
      <c r="Z171" s="281"/>
      <c r="AA171" s="281"/>
      <c r="AB171" s="281"/>
      <c r="AC171" s="281"/>
      <c r="AD171" s="281"/>
      <c r="AE171" s="281"/>
      <c r="AF171" s="281"/>
      <c r="AG171" s="281"/>
      <c r="AH171" s="281"/>
      <c r="AI171" s="281"/>
      <c r="AJ171" s="281"/>
      <c r="AK171" s="281"/>
      <c r="AL171" s="281"/>
      <c r="AM171" s="282"/>
      <c r="AN171" s="174"/>
      <c r="AO171" s="174"/>
      <c r="AP171" s="174"/>
      <c r="AQ171" s="174"/>
      <c r="AR171" s="174"/>
      <c r="AS171" s="174"/>
      <c r="AT171" s="174"/>
      <c r="AU171" s="177"/>
      <c r="AV171" s="178"/>
      <c r="AW171" s="176"/>
      <c r="AX171" s="177"/>
      <c r="AY171" s="177"/>
      <c r="AZ171" s="177"/>
      <c r="BA171" s="177"/>
      <c r="BB171" s="177"/>
      <c r="BC171" s="177"/>
      <c r="BD171" s="177"/>
      <c r="BE171" s="177"/>
      <c r="BF171" s="178"/>
      <c r="BG171" s="79"/>
      <c r="BH171" s="80"/>
      <c r="BI171" s="80"/>
      <c r="BJ171" s="80"/>
      <c r="BK171" s="80"/>
      <c r="BL171" s="81"/>
      <c r="BM171" s="52"/>
      <c r="BO171" s="74"/>
      <c r="BP171" s="75"/>
      <c r="BQ171" s="54"/>
      <c r="BR171" s="74"/>
      <c r="BS171" s="75"/>
      <c r="BT171" s="75"/>
      <c r="BU171" s="75"/>
      <c r="BV171" s="75"/>
      <c r="BW171" s="54"/>
      <c r="BX171" s="38"/>
      <c r="BY171" s="55"/>
      <c r="BZ171" s="55"/>
    </row>
    <row r="172" spans="1:78" x14ac:dyDescent="0.2">
      <c r="AB172" s="2"/>
      <c r="AN172" s="1"/>
    </row>
    <row r="173" spans="1:78" x14ac:dyDescent="0.2">
      <c r="AB173" s="2"/>
      <c r="AN173" s="1"/>
    </row>
    <row r="174" spans="1:78" x14ac:dyDescent="0.2">
      <c r="Y174" s="2"/>
      <c r="Z174" s="2"/>
      <c r="AA174" s="2"/>
      <c r="AB174" s="2"/>
      <c r="AK174" s="1"/>
      <c r="AL174" s="1"/>
      <c r="AM174" s="1"/>
      <c r="AN174" s="1"/>
    </row>
  </sheetData>
  <mergeCells count="1670">
    <mergeCell ref="BO157:BO159"/>
    <mergeCell ref="BP157:BP159"/>
    <mergeCell ref="BQ157:BQ159"/>
    <mergeCell ref="BO160:BO162"/>
    <mergeCell ref="BP160:BP162"/>
    <mergeCell ref="BQ160:BQ162"/>
    <mergeCell ref="BO163:BO165"/>
    <mergeCell ref="BP163:BP165"/>
    <mergeCell ref="BQ163:BQ165"/>
    <mergeCell ref="BO166:BO168"/>
    <mergeCell ref="BP166:BP168"/>
    <mergeCell ref="BQ166:BQ168"/>
    <mergeCell ref="BO169:BO171"/>
    <mergeCell ref="BP169:BP171"/>
    <mergeCell ref="BQ169:BQ171"/>
    <mergeCell ref="BO139:BO141"/>
    <mergeCell ref="BP139:BP141"/>
    <mergeCell ref="BQ139:BQ141"/>
    <mergeCell ref="BO142:BO144"/>
    <mergeCell ref="BP142:BP144"/>
    <mergeCell ref="BQ142:BQ144"/>
    <mergeCell ref="BO145:BO147"/>
    <mergeCell ref="BP145:BP147"/>
    <mergeCell ref="BQ145:BQ147"/>
    <mergeCell ref="BO148:BO150"/>
    <mergeCell ref="BP148:BP150"/>
    <mergeCell ref="BQ148:BQ150"/>
    <mergeCell ref="BO151:BO153"/>
    <mergeCell ref="BP151:BP153"/>
    <mergeCell ref="BQ151:BQ153"/>
    <mergeCell ref="BO154:BO156"/>
    <mergeCell ref="BP154:BP156"/>
    <mergeCell ref="BQ154:BQ156"/>
    <mergeCell ref="BO121:BO123"/>
    <mergeCell ref="BP121:BP123"/>
    <mergeCell ref="BQ121:BQ123"/>
    <mergeCell ref="BO124:BO126"/>
    <mergeCell ref="BP124:BP126"/>
    <mergeCell ref="BQ124:BQ126"/>
    <mergeCell ref="BO127:BO129"/>
    <mergeCell ref="BP127:BP129"/>
    <mergeCell ref="BQ127:BQ129"/>
    <mergeCell ref="BO130:BO132"/>
    <mergeCell ref="BP130:BP132"/>
    <mergeCell ref="BQ130:BQ132"/>
    <mergeCell ref="BO133:BO135"/>
    <mergeCell ref="BP133:BP135"/>
    <mergeCell ref="BQ133:BQ135"/>
    <mergeCell ref="BO136:BO138"/>
    <mergeCell ref="BP136:BP138"/>
    <mergeCell ref="BQ136:BQ138"/>
    <mergeCell ref="BO103:BO105"/>
    <mergeCell ref="BP103:BP105"/>
    <mergeCell ref="BQ103:BQ105"/>
    <mergeCell ref="BO106:BO108"/>
    <mergeCell ref="BP106:BP108"/>
    <mergeCell ref="BQ106:BQ108"/>
    <mergeCell ref="BO109:BO111"/>
    <mergeCell ref="BP109:BP111"/>
    <mergeCell ref="BQ109:BQ111"/>
    <mergeCell ref="BO112:BO114"/>
    <mergeCell ref="BP112:BP114"/>
    <mergeCell ref="BQ112:BQ114"/>
    <mergeCell ref="BO115:BO117"/>
    <mergeCell ref="BP115:BP117"/>
    <mergeCell ref="BQ115:BQ117"/>
    <mergeCell ref="BO118:BO120"/>
    <mergeCell ref="BP118:BP120"/>
    <mergeCell ref="BQ118:BQ120"/>
    <mergeCell ref="BO85:BO87"/>
    <mergeCell ref="BP85:BP87"/>
    <mergeCell ref="BQ85:BQ87"/>
    <mergeCell ref="BO88:BO90"/>
    <mergeCell ref="BP88:BP90"/>
    <mergeCell ref="BQ88:BQ90"/>
    <mergeCell ref="BO91:BO93"/>
    <mergeCell ref="BP91:BP93"/>
    <mergeCell ref="BQ91:BQ93"/>
    <mergeCell ref="BO94:BO96"/>
    <mergeCell ref="BP94:BP96"/>
    <mergeCell ref="BQ94:BQ96"/>
    <mergeCell ref="BO97:BO99"/>
    <mergeCell ref="BP97:BP99"/>
    <mergeCell ref="BQ97:BQ99"/>
    <mergeCell ref="BO100:BO102"/>
    <mergeCell ref="BP100:BP102"/>
    <mergeCell ref="BQ100:BQ102"/>
    <mergeCell ref="BP67:BP69"/>
    <mergeCell ref="BQ67:BQ69"/>
    <mergeCell ref="BO70:BO72"/>
    <mergeCell ref="BP70:BP72"/>
    <mergeCell ref="BQ70:BQ72"/>
    <mergeCell ref="BO73:BO75"/>
    <mergeCell ref="BP73:BP75"/>
    <mergeCell ref="BQ73:BQ75"/>
    <mergeCell ref="BO76:BO78"/>
    <mergeCell ref="BP76:BP78"/>
    <mergeCell ref="BQ76:BQ78"/>
    <mergeCell ref="BO79:BO81"/>
    <mergeCell ref="BP79:BP81"/>
    <mergeCell ref="BQ79:BQ81"/>
    <mergeCell ref="BO82:BO84"/>
    <mergeCell ref="BP82:BP84"/>
    <mergeCell ref="BQ82:BQ84"/>
    <mergeCell ref="BY38:BZ38"/>
    <mergeCell ref="BR37:BW37"/>
    <mergeCell ref="BO37:BQ37"/>
    <mergeCell ref="AU38:AU39"/>
    <mergeCell ref="AV145:AV147"/>
    <mergeCell ref="AV148:AV150"/>
    <mergeCell ref="AV151:AV153"/>
    <mergeCell ref="AV154:AV156"/>
    <mergeCell ref="BO40:BO42"/>
    <mergeCell ref="BP40:BP42"/>
    <mergeCell ref="BQ40:BQ42"/>
    <mergeCell ref="BO55:BO57"/>
    <mergeCell ref="BP55:BP57"/>
    <mergeCell ref="BQ55:BQ57"/>
    <mergeCell ref="BO58:BO60"/>
    <mergeCell ref="BP58:BP60"/>
    <mergeCell ref="BQ58:BQ60"/>
    <mergeCell ref="BO61:BO63"/>
    <mergeCell ref="BP61:BP63"/>
    <mergeCell ref="BQ61:BQ63"/>
    <mergeCell ref="BO52:BO54"/>
    <mergeCell ref="BP52:BP54"/>
    <mergeCell ref="AU112:AU114"/>
    <mergeCell ref="AV112:AV114"/>
    <mergeCell ref="AV118:AV120"/>
    <mergeCell ref="AV121:AV123"/>
    <mergeCell ref="AV127:AV129"/>
    <mergeCell ref="BQ52:BQ54"/>
    <mergeCell ref="BO64:BO66"/>
    <mergeCell ref="BP64:BP66"/>
    <mergeCell ref="BQ64:BQ66"/>
    <mergeCell ref="BO67:BO69"/>
    <mergeCell ref="AV166:AV168"/>
    <mergeCell ref="AV169:AV171"/>
    <mergeCell ref="AX2:BA2"/>
    <mergeCell ref="AX3:BA3"/>
    <mergeCell ref="AK24:AV24"/>
    <mergeCell ref="AK31:AV31"/>
    <mergeCell ref="AT25:AV25"/>
    <mergeCell ref="AT32:AV32"/>
    <mergeCell ref="AQ15:AY15"/>
    <mergeCell ref="AQ16:AY16"/>
    <mergeCell ref="AQ22:AY22"/>
    <mergeCell ref="AQ21:AY21"/>
    <mergeCell ref="AT26:AV26"/>
    <mergeCell ref="AT33:AV33"/>
    <mergeCell ref="AU40:AU42"/>
    <mergeCell ref="AU64:AU66"/>
    <mergeCell ref="AU67:AU69"/>
    <mergeCell ref="AU160:AU162"/>
    <mergeCell ref="AU163:AU165"/>
    <mergeCell ref="AU166:AU168"/>
    <mergeCell ref="AU169:AU171"/>
    <mergeCell ref="AU109:AU111"/>
    <mergeCell ref="AU118:AU120"/>
    <mergeCell ref="AU121:AU123"/>
    <mergeCell ref="AV100:AV102"/>
    <mergeCell ref="AU88:AU90"/>
    <mergeCell ref="AU94:AU96"/>
    <mergeCell ref="AU97:AU99"/>
    <mergeCell ref="AU145:AU147"/>
    <mergeCell ref="AV133:AV135"/>
    <mergeCell ref="AU124:AU126"/>
    <mergeCell ref="V166:AM168"/>
    <mergeCell ref="V169:AM171"/>
    <mergeCell ref="BZ154:BZ156"/>
    <mergeCell ref="BZ157:BZ159"/>
    <mergeCell ref="BZ160:BZ162"/>
    <mergeCell ref="BZ163:BZ165"/>
    <mergeCell ref="BZ166:BZ168"/>
    <mergeCell ref="V40:AM42"/>
    <mergeCell ref="V55:AM57"/>
    <mergeCell ref="V58:AM60"/>
    <mergeCell ref="V61:AM63"/>
    <mergeCell ref="V64:AM66"/>
    <mergeCell ref="V67:AM69"/>
    <mergeCell ref="V70:AM72"/>
    <mergeCell ref="V73:AM75"/>
    <mergeCell ref="V76:AM78"/>
    <mergeCell ref="V79:AM81"/>
    <mergeCell ref="V82:AM84"/>
    <mergeCell ref="V85:AM87"/>
    <mergeCell ref="V88:AM90"/>
    <mergeCell ref="V91:AM93"/>
    <mergeCell ref="V94:AM96"/>
    <mergeCell ref="V97:AM99"/>
    <mergeCell ref="V100:AM102"/>
    <mergeCell ref="V103:AM105"/>
    <mergeCell ref="V106:AM108"/>
    <mergeCell ref="V109:AM111"/>
    <mergeCell ref="AV163:AV165"/>
    <mergeCell ref="AU148:AU150"/>
    <mergeCell ref="AU151:AU153"/>
    <mergeCell ref="AV58:AV60"/>
    <mergeCell ref="BY139:BY141"/>
    <mergeCell ref="BY142:BY144"/>
    <mergeCell ref="BY145:BY147"/>
    <mergeCell ref="BY148:BY150"/>
    <mergeCell ref="BY151:BY153"/>
    <mergeCell ref="BY154:BY156"/>
    <mergeCell ref="BY157:BY159"/>
    <mergeCell ref="V112:AM114"/>
    <mergeCell ref="V115:AM117"/>
    <mergeCell ref="V118:AM120"/>
    <mergeCell ref="V121:AM123"/>
    <mergeCell ref="V124:AM126"/>
    <mergeCell ref="V127:AM129"/>
    <mergeCell ref="V130:AM132"/>
    <mergeCell ref="BR151:BR153"/>
    <mergeCell ref="BS151:BS153"/>
    <mergeCell ref="BT151:BT153"/>
    <mergeCell ref="BU151:BU153"/>
    <mergeCell ref="BV151:BV153"/>
    <mergeCell ref="BW151:BW153"/>
    <mergeCell ref="BR154:BR156"/>
    <mergeCell ref="BS154:BS156"/>
    <mergeCell ref="BT154:BT156"/>
    <mergeCell ref="BU154:BU156"/>
    <mergeCell ref="BV154:BV156"/>
    <mergeCell ref="BW154:BW156"/>
    <mergeCell ref="BR157:BR159"/>
    <mergeCell ref="BS157:BS159"/>
    <mergeCell ref="AU130:AU132"/>
    <mergeCell ref="AV130:AV132"/>
    <mergeCell ref="AU133:AU135"/>
    <mergeCell ref="BT157:BT159"/>
    <mergeCell ref="BU157:BU159"/>
    <mergeCell ref="BV157:BV159"/>
    <mergeCell ref="BZ103:BZ105"/>
    <mergeCell ref="BZ106:BZ108"/>
    <mergeCell ref="BZ109:BZ111"/>
    <mergeCell ref="BZ112:BZ114"/>
    <mergeCell ref="BZ115:BZ117"/>
    <mergeCell ref="BZ118:BZ120"/>
    <mergeCell ref="BZ121:BZ123"/>
    <mergeCell ref="BZ124:BZ126"/>
    <mergeCell ref="BZ127:BZ129"/>
    <mergeCell ref="BZ130:BZ132"/>
    <mergeCell ref="BR124:BR126"/>
    <mergeCell ref="BS124:BS126"/>
    <mergeCell ref="BT124:BT126"/>
    <mergeCell ref="BU124:BU126"/>
    <mergeCell ref="BV124:BV126"/>
    <mergeCell ref="BW124:BW126"/>
    <mergeCell ref="BR127:BR129"/>
    <mergeCell ref="BS127:BS129"/>
    <mergeCell ref="BU130:BU132"/>
    <mergeCell ref="BV130:BV132"/>
    <mergeCell ref="BW130:BW132"/>
    <mergeCell ref="BR115:BR117"/>
    <mergeCell ref="BS115:BS117"/>
    <mergeCell ref="BT115:BT117"/>
    <mergeCell ref="BU115:BU117"/>
    <mergeCell ref="BV115:BV117"/>
    <mergeCell ref="BW115:BW117"/>
    <mergeCell ref="BR118:BR120"/>
    <mergeCell ref="BS118:BS120"/>
    <mergeCell ref="BT118:BT120"/>
    <mergeCell ref="BU118:BU120"/>
    <mergeCell ref="BV118:BV120"/>
    <mergeCell ref="BY160:BY162"/>
    <mergeCell ref="BY163:BY165"/>
    <mergeCell ref="BY166:BY168"/>
    <mergeCell ref="BY169:BY171"/>
    <mergeCell ref="BZ169:BZ171"/>
    <mergeCell ref="BZ40:BZ42"/>
    <mergeCell ref="BZ55:BZ57"/>
    <mergeCell ref="BZ58:BZ60"/>
    <mergeCell ref="BZ61:BZ63"/>
    <mergeCell ref="BZ64:BZ66"/>
    <mergeCell ref="BZ67:BZ69"/>
    <mergeCell ref="BZ70:BZ72"/>
    <mergeCell ref="BZ73:BZ75"/>
    <mergeCell ref="BZ76:BZ78"/>
    <mergeCell ref="BZ79:BZ81"/>
    <mergeCell ref="BZ82:BZ84"/>
    <mergeCell ref="BZ85:BZ87"/>
    <mergeCell ref="BZ88:BZ90"/>
    <mergeCell ref="BZ91:BZ93"/>
    <mergeCell ref="BZ94:BZ96"/>
    <mergeCell ref="BZ97:BZ99"/>
    <mergeCell ref="BZ100:BZ102"/>
    <mergeCell ref="BZ133:BZ135"/>
    <mergeCell ref="BZ136:BZ138"/>
    <mergeCell ref="BZ139:BZ141"/>
    <mergeCell ref="BZ142:BZ144"/>
    <mergeCell ref="BZ145:BZ147"/>
    <mergeCell ref="BZ148:BZ150"/>
    <mergeCell ref="BZ151:BZ153"/>
    <mergeCell ref="BY130:BY132"/>
    <mergeCell ref="BY133:BY135"/>
    <mergeCell ref="BY136:BY138"/>
    <mergeCell ref="BR169:BR171"/>
    <mergeCell ref="BS169:BS171"/>
    <mergeCell ref="BT169:BT171"/>
    <mergeCell ref="BU169:BU171"/>
    <mergeCell ref="BV169:BV171"/>
    <mergeCell ref="BW169:BW171"/>
    <mergeCell ref="BY40:BY42"/>
    <mergeCell ref="BY55:BY57"/>
    <mergeCell ref="BY58:BY60"/>
    <mergeCell ref="BY61:BY63"/>
    <mergeCell ref="BY64:BY66"/>
    <mergeCell ref="BY67:BY69"/>
    <mergeCell ref="BY70:BY72"/>
    <mergeCell ref="BY73:BY75"/>
    <mergeCell ref="BY76:BY78"/>
    <mergeCell ref="BY79:BY81"/>
    <mergeCell ref="BY82:BY84"/>
    <mergeCell ref="BY85:BY87"/>
    <mergeCell ref="BY88:BY90"/>
    <mergeCell ref="BY91:BY93"/>
    <mergeCell ref="BY94:BY96"/>
    <mergeCell ref="BY97:BY99"/>
    <mergeCell ref="BY100:BY102"/>
    <mergeCell ref="BY103:BY105"/>
    <mergeCell ref="BY106:BY108"/>
    <mergeCell ref="BY109:BY111"/>
    <mergeCell ref="BY112:BY114"/>
    <mergeCell ref="BY115:BY117"/>
    <mergeCell ref="BY118:BY120"/>
    <mergeCell ref="BY121:BY123"/>
    <mergeCell ref="BY124:BY126"/>
    <mergeCell ref="BY127:BY129"/>
    <mergeCell ref="BR160:BR162"/>
    <mergeCell ref="BS160:BS162"/>
    <mergeCell ref="BT160:BT162"/>
    <mergeCell ref="BU160:BU162"/>
    <mergeCell ref="BV160:BV162"/>
    <mergeCell ref="BW160:BW162"/>
    <mergeCell ref="BR163:BR165"/>
    <mergeCell ref="BS163:BS165"/>
    <mergeCell ref="BT163:BT165"/>
    <mergeCell ref="BU163:BU165"/>
    <mergeCell ref="BV163:BV165"/>
    <mergeCell ref="BW163:BW165"/>
    <mergeCell ref="BR166:BR168"/>
    <mergeCell ref="BS166:BS168"/>
    <mergeCell ref="BT166:BT168"/>
    <mergeCell ref="BU166:BU168"/>
    <mergeCell ref="BV166:BV168"/>
    <mergeCell ref="BW166:BW168"/>
    <mergeCell ref="BW157:BW159"/>
    <mergeCell ref="BR142:BR144"/>
    <mergeCell ref="BS142:BS144"/>
    <mergeCell ref="BT142:BT144"/>
    <mergeCell ref="BU142:BU144"/>
    <mergeCell ref="BV142:BV144"/>
    <mergeCell ref="BW142:BW144"/>
    <mergeCell ref="BR145:BR147"/>
    <mergeCell ref="BS145:BS147"/>
    <mergeCell ref="BT145:BT147"/>
    <mergeCell ref="BU145:BU147"/>
    <mergeCell ref="BV145:BV147"/>
    <mergeCell ref="BW145:BW147"/>
    <mergeCell ref="BR148:BR150"/>
    <mergeCell ref="BS148:BS150"/>
    <mergeCell ref="BT148:BT150"/>
    <mergeCell ref="BU148:BU150"/>
    <mergeCell ref="BV148:BV150"/>
    <mergeCell ref="BW148:BW150"/>
    <mergeCell ref="BR133:BR135"/>
    <mergeCell ref="BS133:BS135"/>
    <mergeCell ref="BT133:BT135"/>
    <mergeCell ref="BU133:BU135"/>
    <mergeCell ref="BV133:BV135"/>
    <mergeCell ref="BW133:BW135"/>
    <mergeCell ref="BR136:BR138"/>
    <mergeCell ref="BS136:BS138"/>
    <mergeCell ref="BT136:BT138"/>
    <mergeCell ref="BU136:BU138"/>
    <mergeCell ref="BV136:BV138"/>
    <mergeCell ref="BW136:BW138"/>
    <mergeCell ref="BR139:BR141"/>
    <mergeCell ref="BS139:BS141"/>
    <mergeCell ref="BT139:BT141"/>
    <mergeCell ref="BU139:BU141"/>
    <mergeCell ref="BV139:BV141"/>
    <mergeCell ref="BW139:BW141"/>
    <mergeCell ref="BW118:BW120"/>
    <mergeCell ref="BR121:BR123"/>
    <mergeCell ref="BS121:BS123"/>
    <mergeCell ref="BT121:BT123"/>
    <mergeCell ref="BU121:BU123"/>
    <mergeCell ref="BV121:BV123"/>
    <mergeCell ref="BW121:BW123"/>
    <mergeCell ref="BT127:BT129"/>
    <mergeCell ref="BU127:BU129"/>
    <mergeCell ref="BV127:BV129"/>
    <mergeCell ref="BW127:BW129"/>
    <mergeCell ref="BR130:BR132"/>
    <mergeCell ref="BS130:BS132"/>
    <mergeCell ref="BT130:BT132"/>
    <mergeCell ref="BR106:BR108"/>
    <mergeCell ref="BS106:BS108"/>
    <mergeCell ref="BT106:BT108"/>
    <mergeCell ref="BU106:BU108"/>
    <mergeCell ref="BV106:BV108"/>
    <mergeCell ref="BW106:BW108"/>
    <mergeCell ref="BR109:BR111"/>
    <mergeCell ref="BS109:BS111"/>
    <mergeCell ref="BT109:BT111"/>
    <mergeCell ref="BU109:BU111"/>
    <mergeCell ref="BV109:BV111"/>
    <mergeCell ref="BW109:BW111"/>
    <mergeCell ref="BR112:BR114"/>
    <mergeCell ref="BS112:BS114"/>
    <mergeCell ref="BT112:BT114"/>
    <mergeCell ref="BU112:BU114"/>
    <mergeCell ref="BV112:BV114"/>
    <mergeCell ref="BW112:BW114"/>
    <mergeCell ref="BR97:BR99"/>
    <mergeCell ref="BS97:BS99"/>
    <mergeCell ref="BT97:BT99"/>
    <mergeCell ref="BU97:BU99"/>
    <mergeCell ref="BV97:BV99"/>
    <mergeCell ref="BW97:BW99"/>
    <mergeCell ref="BR100:BR102"/>
    <mergeCell ref="BS100:BS102"/>
    <mergeCell ref="BT100:BT102"/>
    <mergeCell ref="BU100:BU102"/>
    <mergeCell ref="BV100:BV102"/>
    <mergeCell ref="BW100:BW102"/>
    <mergeCell ref="BR103:BR105"/>
    <mergeCell ref="BS103:BS105"/>
    <mergeCell ref="BT103:BT105"/>
    <mergeCell ref="BU103:BU105"/>
    <mergeCell ref="BV103:BV105"/>
    <mergeCell ref="BW103:BW105"/>
    <mergeCell ref="BR88:BR90"/>
    <mergeCell ref="BS88:BS90"/>
    <mergeCell ref="BT88:BT90"/>
    <mergeCell ref="BU88:BU90"/>
    <mergeCell ref="BV88:BV90"/>
    <mergeCell ref="BW88:BW90"/>
    <mergeCell ref="BR91:BR93"/>
    <mergeCell ref="BS91:BS93"/>
    <mergeCell ref="BT91:BT93"/>
    <mergeCell ref="BU91:BU93"/>
    <mergeCell ref="BV91:BV93"/>
    <mergeCell ref="BW91:BW93"/>
    <mergeCell ref="BR94:BR96"/>
    <mergeCell ref="BS94:BS96"/>
    <mergeCell ref="BT94:BT96"/>
    <mergeCell ref="BU94:BU96"/>
    <mergeCell ref="BV94:BV96"/>
    <mergeCell ref="BW94:BW96"/>
    <mergeCell ref="BR79:BR81"/>
    <mergeCell ref="BS79:BS81"/>
    <mergeCell ref="BT79:BT81"/>
    <mergeCell ref="BU79:BU81"/>
    <mergeCell ref="BV79:BV81"/>
    <mergeCell ref="BW79:BW81"/>
    <mergeCell ref="BR82:BR84"/>
    <mergeCell ref="BS82:BS84"/>
    <mergeCell ref="BT82:BT84"/>
    <mergeCell ref="BU82:BU84"/>
    <mergeCell ref="BV82:BV84"/>
    <mergeCell ref="BW82:BW84"/>
    <mergeCell ref="BR85:BR87"/>
    <mergeCell ref="BS85:BS87"/>
    <mergeCell ref="BT85:BT87"/>
    <mergeCell ref="BU85:BU87"/>
    <mergeCell ref="BV85:BV87"/>
    <mergeCell ref="BW85:BW87"/>
    <mergeCell ref="BR70:BR72"/>
    <mergeCell ref="BS70:BS72"/>
    <mergeCell ref="BT70:BT72"/>
    <mergeCell ref="BU70:BU72"/>
    <mergeCell ref="BV70:BV72"/>
    <mergeCell ref="BW70:BW72"/>
    <mergeCell ref="BR73:BR75"/>
    <mergeCell ref="BS73:BS75"/>
    <mergeCell ref="BT73:BT75"/>
    <mergeCell ref="BU73:BU75"/>
    <mergeCell ref="BV73:BV75"/>
    <mergeCell ref="BW73:BW75"/>
    <mergeCell ref="BR76:BR78"/>
    <mergeCell ref="BS76:BS78"/>
    <mergeCell ref="BT76:BT78"/>
    <mergeCell ref="BU76:BU78"/>
    <mergeCell ref="BV76:BV78"/>
    <mergeCell ref="BW76:BW78"/>
    <mergeCell ref="BR61:BR63"/>
    <mergeCell ref="BS61:BS63"/>
    <mergeCell ref="BT61:BT63"/>
    <mergeCell ref="BU61:BU63"/>
    <mergeCell ref="BV61:BV63"/>
    <mergeCell ref="BW61:BW63"/>
    <mergeCell ref="BR64:BR66"/>
    <mergeCell ref="BS64:BS66"/>
    <mergeCell ref="BT64:BT66"/>
    <mergeCell ref="BU64:BU66"/>
    <mergeCell ref="BV64:BV66"/>
    <mergeCell ref="BW64:BW66"/>
    <mergeCell ref="BR67:BR69"/>
    <mergeCell ref="BS67:BS69"/>
    <mergeCell ref="BT67:BT69"/>
    <mergeCell ref="BU67:BU69"/>
    <mergeCell ref="BV67:BV69"/>
    <mergeCell ref="BW67:BW69"/>
    <mergeCell ref="BR40:BR42"/>
    <mergeCell ref="BS40:BS42"/>
    <mergeCell ref="BT40:BT42"/>
    <mergeCell ref="BU40:BU42"/>
    <mergeCell ref="BV40:BV42"/>
    <mergeCell ref="BW40:BW42"/>
    <mergeCell ref="BR55:BR57"/>
    <mergeCell ref="BS55:BS57"/>
    <mergeCell ref="BT55:BT57"/>
    <mergeCell ref="BU55:BU57"/>
    <mergeCell ref="BV55:BV57"/>
    <mergeCell ref="BW55:BW57"/>
    <mergeCell ref="BR58:BR60"/>
    <mergeCell ref="BS58:BS60"/>
    <mergeCell ref="BT58:BT60"/>
    <mergeCell ref="BU58:BU60"/>
    <mergeCell ref="BV58:BV60"/>
    <mergeCell ref="BW58:BW60"/>
    <mergeCell ref="BR52:BR54"/>
    <mergeCell ref="BS52:BS54"/>
    <mergeCell ref="BT52:BT54"/>
    <mergeCell ref="BU52:BU54"/>
    <mergeCell ref="BV52:BV54"/>
    <mergeCell ref="BW52:BW54"/>
    <mergeCell ref="BT46:BT48"/>
    <mergeCell ref="BU46:BU48"/>
    <mergeCell ref="BV46:BV48"/>
    <mergeCell ref="BW46:BW48"/>
    <mergeCell ref="BS43:BS45"/>
    <mergeCell ref="BT43:BT45"/>
    <mergeCell ref="BU43:BU45"/>
    <mergeCell ref="BV43:BV45"/>
    <mergeCell ref="G37:I39"/>
    <mergeCell ref="J37:O39"/>
    <mergeCell ref="P37:R39"/>
    <mergeCell ref="S37:U39"/>
    <mergeCell ref="V37:AM39"/>
    <mergeCell ref="AN37:AT39"/>
    <mergeCell ref="AW38:AW39"/>
    <mergeCell ref="AX38:AX39"/>
    <mergeCell ref="AY38:AY39"/>
    <mergeCell ref="AZ38:AZ39"/>
    <mergeCell ref="BA38:BA39"/>
    <mergeCell ref="BB38:BB39"/>
    <mergeCell ref="BC38:BC39"/>
    <mergeCell ref="BD38:BD39"/>
    <mergeCell ref="BE38:BE39"/>
    <mergeCell ref="AV38:AV39"/>
    <mergeCell ref="AW37:BF37"/>
    <mergeCell ref="AU37:AV37"/>
    <mergeCell ref="J151:O153"/>
    <mergeCell ref="J154:O156"/>
    <mergeCell ref="J157:O159"/>
    <mergeCell ref="J160:O162"/>
    <mergeCell ref="J163:O165"/>
    <mergeCell ref="J166:O168"/>
    <mergeCell ref="J169:O171"/>
    <mergeCell ref="AW33:AY33"/>
    <mergeCell ref="AZ32:BB32"/>
    <mergeCell ref="AZ33:BB33"/>
    <mergeCell ref="BC32:BE32"/>
    <mergeCell ref="BC33:BE33"/>
    <mergeCell ref="G32:I32"/>
    <mergeCell ref="BB100:BB102"/>
    <mergeCell ref="BC100:BC102"/>
    <mergeCell ref="A21:F22"/>
    <mergeCell ref="G24:R24"/>
    <mergeCell ref="G25:I25"/>
    <mergeCell ref="J25:L25"/>
    <mergeCell ref="M25:O25"/>
    <mergeCell ref="P25:R25"/>
    <mergeCell ref="AX61:AX63"/>
    <mergeCell ref="AY61:AY63"/>
    <mergeCell ref="S24:AA24"/>
    <mergeCell ref="G26:I26"/>
    <mergeCell ref="J26:L26"/>
    <mergeCell ref="AW32:AY32"/>
    <mergeCell ref="Y32:AA32"/>
    <mergeCell ref="S33:U33"/>
    <mergeCell ref="V33:X33"/>
    <mergeCell ref="Y33:AA33"/>
    <mergeCell ref="AB32:AD32"/>
    <mergeCell ref="J127:O129"/>
    <mergeCell ref="J130:O132"/>
    <mergeCell ref="BF100:BF102"/>
    <mergeCell ref="AW100:AW102"/>
    <mergeCell ref="AX100:AX102"/>
    <mergeCell ref="AY100:AY102"/>
    <mergeCell ref="AZ100:AZ102"/>
    <mergeCell ref="BA100:BA102"/>
    <mergeCell ref="J61:O63"/>
    <mergeCell ref="J82:O84"/>
    <mergeCell ref="BD100:BD102"/>
    <mergeCell ref="BE100:BE102"/>
    <mergeCell ref="BF106:BF108"/>
    <mergeCell ref="BF112:BF114"/>
    <mergeCell ref="AU61:AU63"/>
    <mergeCell ref="AV61:AV63"/>
    <mergeCell ref="AV64:AV66"/>
    <mergeCell ref="AV67:AV69"/>
    <mergeCell ref="AV70:AV72"/>
    <mergeCell ref="AU70:AU72"/>
    <mergeCell ref="AU73:AU75"/>
    <mergeCell ref="AV73:AV75"/>
    <mergeCell ref="AU76:AU78"/>
    <mergeCell ref="AV76:AV78"/>
    <mergeCell ref="J100:O102"/>
    <mergeCell ref="J103:O105"/>
    <mergeCell ref="J106:O108"/>
    <mergeCell ref="J109:O111"/>
    <mergeCell ref="J112:O114"/>
    <mergeCell ref="AU100:AU102"/>
    <mergeCell ref="S73:U75"/>
    <mergeCell ref="AN73:AT75"/>
    <mergeCell ref="BF33:BH33"/>
    <mergeCell ref="P33:R33"/>
    <mergeCell ref="AK33:AM33"/>
    <mergeCell ref="AN33:AP33"/>
    <mergeCell ref="AQ33:AS33"/>
    <mergeCell ref="AV79:AV81"/>
    <mergeCell ref="AV82:AV84"/>
    <mergeCell ref="AU85:AU87"/>
    <mergeCell ref="AV85:AV87"/>
    <mergeCell ref="AU79:AU81"/>
    <mergeCell ref="AU82:AU84"/>
    <mergeCell ref="AV88:AV90"/>
    <mergeCell ref="AU91:AU93"/>
    <mergeCell ref="AV91:AV93"/>
    <mergeCell ref="AZ40:AZ42"/>
    <mergeCell ref="AY40:AY42"/>
    <mergeCell ref="AZ49:AZ51"/>
    <mergeCell ref="AX40:AX42"/>
    <mergeCell ref="AY55:AY57"/>
    <mergeCell ref="AZ55:AZ57"/>
    <mergeCell ref="BA55:BA57"/>
    <mergeCell ref="BB55:BB57"/>
    <mergeCell ref="BC55:BC57"/>
    <mergeCell ref="BD55:BD57"/>
    <mergeCell ref="BE55:BE57"/>
    <mergeCell ref="AX58:AX60"/>
    <mergeCell ref="AY58:AY60"/>
    <mergeCell ref="AZ58:AZ60"/>
    <mergeCell ref="BA58:BA60"/>
    <mergeCell ref="AV40:AV42"/>
    <mergeCell ref="AV55:AV57"/>
    <mergeCell ref="AU58:AU60"/>
    <mergeCell ref="BF32:BH32"/>
    <mergeCell ref="P32:R32"/>
    <mergeCell ref="AK32:AM32"/>
    <mergeCell ref="AN32:AP32"/>
    <mergeCell ref="AQ32:AS32"/>
    <mergeCell ref="BF38:BF39"/>
    <mergeCell ref="AU55:AU57"/>
    <mergeCell ref="AW40:AW42"/>
    <mergeCell ref="J33:L33"/>
    <mergeCell ref="M33:O33"/>
    <mergeCell ref="AZ61:AZ63"/>
    <mergeCell ref="BA61:BA63"/>
    <mergeCell ref="BB61:BB63"/>
    <mergeCell ref="BC61:BC63"/>
    <mergeCell ref="J91:O93"/>
    <mergeCell ref="J94:O96"/>
    <mergeCell ref="J97:O99"/>
    <mergeCell ref="J85:O87"/>
    <mergeCell ref="J88:O90"/>
    <mergeCell ref="AW61:AW63"/>
    <mergeCell ref="BF55:BF57"/>
    <mergeCell ref="AW55:AW57"/>
    <mergeCell ref="AX55:AX57"/>
    <mergeCell ref="BF40:BF42"/>
    <mergeCell ref="BE40:BE42"/>
    <mergeCell ref="BD40:BD42"/>
    <mergeCell ref="BC40:BC42"/>
    <mergeCell ref="BB40:BB42"/>
    <mergeCell ref="BA40:BA42"/>
    <mergeCell ref="AB33:AD33"/>
    <mergeCell ref="AE33:AG33"/>
    <mergeCell ref="P73:R75"/>
    <mergeCell ref="C170:F170"/>
    <mergeCell ref="C153:F153"/>
    <mergeCell ref="C149:F149"/>
    <mergeCell ref="C142:F142"/>
    <mergeCell ref="C143:F143"/>
    <mergeCell ref="C96:F96"/>
    <mergeCell ref="C150:F150"/>
    <mergeCell ref="C136:F136"/>
    <mergeCell ref="C144:F144"/>
    <mergeCell ref="G139:I141"/>
    <mergeCell ref="C160:F160"/>
    <mergeCell ref="C157:F157"/>
    <mergeCell ref="C158:F158"/>
    <mergeCell ref="C156:F156"/>
    <mergeCell ref="C159:F159"/>
    <mergeCell ref="C155:F155"/>
    <mergeCell ref="C161:F161"/>
    <mergeCell ref="C169:F169"/>
    <mergeCell ref="C145:F145"/>
    <mergeCell ref="G145:I147"/>
    <mergeCell ref="C116:F116"/>
    <mergeCell ref="C110:F110"/>
    <mergeCell ref="C107:F107"/>
    <mergeCell ref="C98:F98"/>
    <mergeCell ref="C128:F128"/>
    <mergeCell ref="C126:F126"/>
    <mergeCell ref="C121:F121"/>
    <mergeCell ref="C125:F125"/>
    <mergeCell ref="C122:F122"/>
    <mergeCell ref="C124:F124"/>
    <mergeCell ref="C123:F123"/>
    <mergeCell ref="C120:F120"/>
    <mergeCell ref="Y2:AB2"/>
    <mergeCell ref="Y3:AB3"/>
    <mergeCell ref="A13:B13"/>
    <mergeCell ref="G13:H13"/>
    <mergeCell ref="C97:F97"/>
    <mergeCell ref="G94:I96"/>
    <mergeCell ref="P94:R96"/>
    <mergeCell ref="S94:U96"/>
    <mergeCell ref="AN94:AT96"/>
    <mergeCell ref="C88:F88"/>
    <mergeCell ref="C87:F87"/>
    <mergeCell ref="C90:F90"/>
    <mergeCell ref="C56:F56"/>
    <mergeCell ref="C131:F131"/>
    <mergeCell ref="G130:I132"/>
    <mergeCell ref="S130:U132"/>
    <mergeCell ref="C117:F117"/>
    <mergeCell ref="C91:F91"/>
    <mergeCell ref="G88:I90"/>
    <mergeCell ref="P88:R90"/>
    <mergeCell ref="S88:U90"/>
    <mergeCell ref="C66:F66"/>
    <mergeCell ref="A64:B66"/>
    <mergeCell ref="G64:I66"/>
    <mergeCell ref="P64:R66"/>
    <mergeCell ref="AN55:AT57"/>
    <mergeCell ref="C80:F80"/>
    <mergeCell ref="Q2:T2"/>
    <mergeCell ref="Q3:T3"/>
    <mergeCell ref="P130:R132"/>
    <mergeCell ref="J58:O60"/>
    <mergeCell ref="AH26:AJ26"/>
    <mergeCell ref="C100:F100"/>
    <mergeCell ref="C92:F92"/>
    <mergeCell ref="C130:F130"/>
    <mergeCell ref="C99:F99"/>
    <mergeCell ref="C83:F83"/>
    <mergeCell ref="C129:F129"/>
    <mergeCell ref="C118:F118"/>
    <mergeCell ref="C132:F132"/>
    <mergeCell ref="C101:F101"/>
    <mergeCell ref="C89:F89"/>
    <mergeCell ref="C113:F113"/>
    <mergeCell ref="C114:F114"/>
    <mergeCell ref="C81:F81"/>
    <mergeCell ref="A2:F2"/>
    <mergeCell ref="A3:F3"/>
    <mergeCell ref="A28:F29"/>
    <mergeCell ref="A37:B39"/>
    <mergeCell ref="C37:F39"/>
    <mergeCell ref="A18:F19"/>
    <mergeCell ref="A4:F7"/>
    <mergeCell ref="A8:F12"/>
    <mergeCell ref="C60:F60"/>
    <mergeCell ref="C61:F61"/>
    <mergeCell ref="A103:B105"/>
    <mergeCell ref="A109:B111"/>
    <mergeCell ref="C106:F106"/>
    <mergeCell ref="A115:B117"/>
    <mergeCell ref="C115:F115"/>
    <mergeCell ref="C59:F59"/>
    <mergeCell ref="A58:B60"/>
    <mergeCell ref="C62:F62"/>
    <mergeCell ref="C63:F63"/>
    <mergeCell ref="C168:F168"/>
    <mergeCell ref="C84:F84"/>
    <mergeCell ref="C86:F86"/>
    <mergeCell ref="C85:F85"/>
    <mergeCell ref="C94:F94"/>
    <mergeCell ref="C93:F93"/>
    <mergeCell ref="AN106:AT108"/>
    <mergeCell ref="C111:F111"/>
    <mergeCell ref="C112:F112"/>
    <mergeCell ref="G112:I114"/>
    <mergeCell ref="P112:R114"/>
    <mergeCell ref="S112:U114"/>
    <mergeCell ref="AN112:AT114"/>
    <mergeCell ref="C167:F167"/>
    <mergeCell ref="C148:F148"/>
    <mergeCell ref="C139:F139"/>
    <mergeCell ref="C140:F140"/>
    <mergeCell ref="C133:F133"/>
    <mergeCell ref="C135:F135"/>
    <mergeCell ref="C137:F137"/>
    <mergeCell ref="C138:F138"/>
    <mergeCell ref="C163:F163"/>
    <mergeCell ref="AN121:AT123"/>
    <mergeCell ref="C119:F119"/>
    <mergeCell ref="C141:F141"/>
    <mergeCell ref="C164:F164"/>
    <mergeCell ref="C162:F162"/>
    <mergeCell ref="V151:AM153"/>
    <mergeCell ref="V154:AM156"/>
    <mergeCell ref="P145:R147"/>
    <mergeCell ref="G103:I105"/>
    <mergeCell ref="P103:R105"/>
    <mergeCell ref="AW151:AW153"/>
    <mergeCell ref="AX151:AX153"/>
    <mergeCell ref="AY151:AY153"/>
    <mergeCell ref="AZ151:AZ153"/>
    <mergeCell ref="A160:B162"/>
    <mergeCell ref="G160:I162"/>
    <mergeCell ref="P160:R162"/>
    <mergeCell ref="S160:U162"/>
    <mergeCell ref="A79:B81"/>
    <mergeCell ref="A88:B90"/>
    <mergeCell ref="A94:B96"/>
    <mergeCell ref="A100:B102"/>
    <mergeCell ref="A106:B108"/>
    <mergeCell ref="A112:B114"/>
    <mergeCell ref="A118:B120"/>
    <mergeCell ref="A121:B123"/>
    <mergeCell ref="C102:F102"/>
    <mergeCell ref="C103:F103"/>
    <mergeCell ref="G100:I102"/>
    <mergeCell ref="P100:R102"/>
    <mergeCell ref="S100:U102"/>
    <mergeCell ref="AN100:AT102"/>
    <mergeCell ref="C108:F108"/>
    <mergeCell ref="C109:F109"/>
    <mergeCell ref="G106:I108"/>
    <mergeCell ref="P106:R108"/>
    <mergeCell ref="A85:B87"/>
    <mergeCell ref="G85:I87"/>
    <mergeCell ref="P85:R87"/>
    <mergeCell ref="S85:U87"/>
    <mergeCell ref="AN85:AT87"/>
    <mergeCell ref="AW85:AW87"/>
    <mergeCell ref="C75:F75"/>
    <mergeCell ref="A73:B75"/>
    <mergeCell ref="C41:F41"/>
    <mergeCell ref="C42:F42"/>
    <mergeCell ref="AN40:AT42"/>
    <mergeCell ref="S40:U42"/>
    <mergeCell ref="P40:R42"/>
    <mergeCell ref="G40:I42"/>
    <mergeCell ref="C40:F40"/>
    <mergeCell ref="A40:B42"/>
    <mergeCell ref="C73:F73"/>
    <mergeCell ref="C65:F65"/>
    <mergeCell ref="C57:F57"/>
    <mergeCell ref="A55:B57"/>
    <mergeCell ref="C55:F55"/>
    <mergeCell ref="G55:I57"/>
    <mergeCell ref="P55:R57"/>
    <mergeCell ref="S55:U57"/>
    <mergeCell ref="A49:B51"/>
    <mergeCell ref="A43:B45"/>
    <mergeCell ref="C43:F43"/>
    <mergeCell ref="G43:I45"/>
    <mergeCell ref="J43:O45"/>
    <mergeCell ref="P43:R45"/>
    <mergeCell ref="S43:U45"/>
    <mergeCell ref="V43:AM45"/>
    <mergeCell ref="AN43:AT45"/>
    <mergeCell ref="BB58:BB60"/>
    <mergeCell ref="BC58:BC60"/>
    <mergeCell ref="BD58:BD60"/>
    <mergeCell ref="BE58:BE60"/>
    <mergeCell ref="BF58:BF60"/>
    <mergeCell ref="C58:F58"/>
    <mergeCell ref="G58:I60"/>
    <mergeCell ref="P58:R60"/>
    <mergeCell ref="S58:U60"/>
    <mergeCell ref="AN58:AT60"/>
    <mergeCell ref="AW58:AW60"/>
    <mergeCell ref="J40:O42"/>
    <mergeCell ref="J55:O57"/>
    <mergeCell ref="C49:F49"/>
    <mergeCell ref="G49:I51"/>
    <mergeCell ref="J49:O51"/>
    <mergeCell ref="P49:R51"/>
    <mergeCell ref="S49:U51"/>
    <mergeCell ref="V49:AM51"/>
    <mergeCell ref="AN49:AT51"/>
    <mergeCell ref="AU49:AU51"/>
    <mergeCell ref="AV49:AV51"/>
    <mergeCell ref="AW49:AW51"/>
    <mergeCell ref="AX49:AX51"/>
    <mergeCell ref="AY49:AY51"/>
    <mergeCell ref="C46:F46"/>
    <mergeCell ref="G46:I48"/>
    <mergeCell ref="J46:O48"/>
    <mergeCell ref="P46:R48"/>
    <mergeCell ref="S46:U48"/>
    <mergeCell ref="V46:AM48"/>
    <mergeCell ref="AN46:AT48"/>
    <mergeCell ref="BD61:BD63"/>
    <mergeCell ref="BE61:BE63"/>
    <mergeCell ref="BF61:BF63"/>
    <mergeCell ref="A61:B63"/>
    <mergeCell ref="G61:I63"/>
    <mergeCell ref="P61:R63"/>
    <mergeCell ref="S61:U63"/>
    <mergeCell ref="AN61:AT63"/>
    <mergeCell ref="BB64:BB66"/>
    <mergeCell ref="BC64:BC66"/>
    <mergeCell ref="BD64:BD66"/>
    <mergeCell ref="BE64:BE66"/>
    <mergeCell ref="BF64:BF66"/>
    <mergeCell ref="A67:B69"/>
    <mergeCell ref="G67:I69"/>
    <mergeCell ref="P67:R69"/>
    <mergeCell ref="S67:U69"/>
    <mergeCell ref="AN67:AT69"/>
    <mergeCell ref="AW67:AW69"/>
    <mergeCell ref="AX67:AX69"/>
    <mergeCell ref="AY67:AY69"/>
    <mergeCell ref="AZ67:AZ69"/>
    <mergeCell ref="BA67:BA69"/>
    <mergeCell ref="BB67:BB69"/>
    <mergeCell ref="BC67:BC69"/>
    <mergeCell ref="BD67:BD69"/>
    <mergeCell ref="BE67:BE69"/>
    <mergeCell ref="S64:U66"/>
    <mergeCell ref="AN64:AT66"/>
    <mergeCell ref="AW64:AW66"/>
    <mergeCell ref="AX64:AX66"/>
    <mergeCell ref="AY64:AY66"/>
    <mergeCell ref="AZ64:AZ66"/>
    <mergeCell ref="BA64:BA66"/>
    <mergeCell ref="BF67:BF69"/>
    <mergeCell ref="A70:B72"/>
    <mergeCell ref="G70:I72"/>
    <mergeCell ref="P70:R72"/>
    <mergeCell ref="S70:U72"/>
    <mergeCell ref="AN70:AT72"/>
    <mergeCell ref="AW70:AW72"/>
    <mergeCell ref="AX70:AX72"/>
    <mergeCell ref="AY70:AY72"/>
    <mergeCell ref="AZ70:AZ72"/>
    <mergeCell ref="BA70:BA72"/>
    <mergeCell ref="BB70:BB72"/>
    <mergeCell ref="BC70:BC72"/>
    <mergeCell ref="BD70:BD72"/>
    <mergeCell ref="BE70:BE72"/>
    <mergeCell ref="BF70:BF72"/>
    <mergeCell ref="C68:F68"/>
    <mergeCell ref="C67:F67"/>
    <mergeCell ref="C71:F71"/>
    <mergeCell ref="J64:O66"/>
    <mergeCell ref="J67:O69"/>
    <mergeCell ref="J70:O72"/>
    <mergeCell ref="C64:F64"/>
    <mergeCell ref="C72:F72"/>
    <mergeCell ref="C70:F70"/>
    <mergeCell ref="C69:F69"/>
    <mergeCell ref="BF73:BF75"/>
    <mergeCell ref="A76:B78"/>
    <mergeCell ref="C76:F76"/>
    <mergeCell ref="G76:I78"/>
    <mergeCell ref="P76:R78"/>
    <mergeCell ref="S76:U78"/>
    <mergeCell ref="AN76:AT78"/>
    <mergeCell ref="AW76:AW78"/>
    <mergeCell ref="AX76:AX78"/>
    <mergeCell ref="AY76:AY78"/>
    <mergeCell ref="AZ76:AZ78"/>
    <mergeCell ref="BA76:BA78"/>
    <mergeCell ref="BB76:BB78"/>
    <mergeCell ref="BC76:BC78"/>
    <mergeCell ref="BD76:BD78"/>
    <mergeCell ref="BE76:BE78"/>
    <mergeCell ref="BF76:BF78"/>
    <mergeCell ref="AW73:AW75"/>
    <mergeCell ref="AX73:AX75"/>
    <mergeCell ref="AY73:AY75"/>
    <mergeCell ref="AZ73:AZ75"/>
    <mergeCell ref="BA73:BA75"/>
    <mergeCell ref="BB73:BB75"/>
    <mergeCell ref="BC73:BC75"/>
    <mergeCell ref="BD73:BD75"/>
    <mergeCell ref="BE73:BE75"/>
    <mergeCell ref="C74:F74"/>
    <mergeCell ref="C77:F77"/>
    <mergeCell ref="C78:F78"/>
    <mergeCell ref="J73:O75"/>
    <mergeCell ref="J76:O78"/>
    <mergeCell ref="G73:I75"/>
    <mergeCell ref="BA79:BA81"/>
    <mergeCell ref="BB79:BB81"/>
    <mergeCell ref="BC79:BC81"/>
    <mergeCell ref="BD79:BD81"/>
    <mergeCell ref="BE79:BE81"/>
    <mergeCell ref="BF79:BF81"/>
    <mergeCell ref="A82:B84"/>
    <mergeCell ref="G82:I84"/>
    <mergeCell ref="P82:R84"/>
    <mergeCell ref="S82:U84"/>
    <mergeCell ref="AN82:AT84"/>
    <mergeCell ref="AW82:AW84"/>
    <mergeCell ref="AX82:AX84"/>
    <mergeCell ref="AY82:AY84"/>
    <mergeCell ref="AZ82:AZ84"/>
    <mergeCell ref="BA82:BA84"/>
    <mergeCell ref="BB82:BB84"/>
    <mergeCell ref="BC82:BC84"/>
    <mergeCell ref="BD82:BD84"/>
    <mergeCell ref="P79:R81"/>
    <mergeCell ref="S79:U81"/>
    <mergeCell ref="AN79:AT81"/>
    <mergeCell ref="AW79:AW81"/>
    <mergeCell ref="AX79:AX81"/>
    <mergeCell ref="AY79:AY81"/>
    <mergeCell ref="AZ79:AZ81"/>
    <mergeCell ref="BE82:BE84"/>
    <mergeCell ref="BF82:BF84"/>
    <mergeCell ref="C82:F82"/>
    <mergeCell ref="G79:I81"/>
    <mergeCell ref="C79:F79"/>
    <mergeCell ref="J79:O81"/>
    <mergeCell ref="AX85:AX87"/>
    <mergeCell ref="AY85:AY87"/>
    <mergeCell ref="AZ85:AZ87"/>
    <mergeCell ref="BA85:BA87"/>
    <mergeCell ref="BB85:BB87"/>
    <mergeCell ref="BC85:BC87"/>
    <mergeCell ref="BD85:BD87"/>
    <mergeCell ref="BE85:BE87"/>
    <mergeCell ref="BF85:BF87"/>
    <mergeCell ref="BF88:BF90"/>
    <mergeCell ref="A91:B93"/>
    <mergeCell ref="G91:I93"/>
    <mergeCell ref="P91:R93"/>
    <mergeCell ref="S91:U93"/>
    <mergeCell ref="AN91:AT93"/>
    <mergeCell ref="AW91:AW93"/>
    <mergeCell ref="AX91:AX93"/>
    <mergeCell ref="AY91:AY93"/>
    <mergeCell ref="AZ91:AZ93"/>
    <mergeCell ref="BA91:BA93"/>
    <mergeCell ref="BB91:BB93"/>
    <mergeCell ref="BC91:BC93"/>
    <mergeCell ref="BD91:BD93"/>
    <mergeCell ref="BE91:BE93"/>
    <mergeCell ref="BF91:BF93"/>
    <mergeCell ref="AW88:AW90"/>
    <mergeCell ref="AX88:AX90"/>
    <mergeCell ref="AY88:AY90"/>
    <mergeCell ref="AZ88:AZ90"/>
    <mergeCell ref="BA88:BA90"/>
    <mergeCell ref="BB88:BB90"/>
    <mergeCell ref="BC88:BC90"/>
    <mergeCell ref="BD88:BD90"/>
    <mergeCell ref="BE88:BE90"/>
    <mergeCell ref="BF94:BF96"/>
    <mergeCell ref="C95:F95"/>
    <mergeCell ref="A97:B99"/>
    <mergeCell ref="G97:I99"/>
    <mergeCell ref="P97:R99"/>
    <mergeCell ref="S97:U99"/>
    <mergeCell ref="AN97:AT99"/>
    <mergeCell ref="AW97:AW99"/>
    <mergeCell ref="AX97:AX99"/>
    <mergeCell ref="AY97:AY99"/>
    <mergeCell ref="AZ97:AZ99"/>
    <mergeCell ref="BA97:BA99"/>
    <mergeCell ref="BB97:BB99"/>
    <mergeCell ref="BC97:BC99"/>
    <mergeCell ref="BD97:BD99"/>
    <mergeCell ref="BE97:BE99"/>
    <mergeCell ref="BF97:BF99"/>
    <mergeCell ref="AW94:AW96"/>
    <mergeCell ref="AX94:AX96"/>
    <mergeCell ref="AY94:AY96"/>
    <mergeCell ref="AZ94:AZ96"/>
    <mergeCell ref="BA94:BA96"/>
    <mergeCell ref="BB94:BB96"/>
    <mergeCell ref="BC94:BC96"/>
    <mergeCell ref="BD94:BD96"/>
    <mergeCell ref="BE94:BE96"/>
    <mergeCell ref="AN88:AT90"/>
    <mergeCell ref="AV94:AV96"/>
    <mergeCell ref="AV97:AV99"/>
    <mergeCell ref="S103:U105"/>
    <mergeCell ref="AN103:AT105"/>
    <mergeCell ref="AW103:AW105"/>
    <mergeCell ref="AX103:AX105"/>
    <mergeCell ref="AY103:AY105"/>
    <mergeCell ref="AZ103:AZ105"/>
    <mergeCell ref="BA103:BA105"/>
    <mergeCell ref="BB103:BB105"/>
    <mergeCell ref="BC103:BC105"/>
    <mergeCell ref="BD103:BD105"/>
    <mergeCell ref="BE103:BE105"/>
    <mergeCell ref="BF103:BF105"/>
    <mergeCell ref="C104:F104"/>
    <mergeCell ref="C105:F105"/>
    <mergeCell ref="AU103:AU105"/>
    <mergeCell ref="AV103:AV105"/>
    <mergeCell ref="G109:I111"/>
    <mergeCell ref="P109:R111"/>
    <mergeCell ref="S109:U111"/>
    <mergeCell ref="AN109:AT111"/>
    <mergeCell ref="AW109:AW111"/>
    <mergeCell ref="AX109:AX111"/>
    <mergeCell ref="AY109:AY111"/>
    <mergeCell ref="AZ109:AZ111"/>
    <mergeCell ref="BA109:BA111"/>
    <mergeCell ref="BB109:BB111"/>
    <mergeCell ref="BC109:BC111"/>
    <mergeCell ref="BD109:BD111"/>
    <mergeCell ref="BE109:BE111"/>
    <mergeCell ref="BF109:BF111"/>
    <mergeCell ref="AW106:AW108"/>
    <mergeCell ref="AX106:AX108"/>
    <mergeCell ref="AY106:AY108"/>
    <mergeCell ref="AZ106:AZ108"/>
    <mergeCell ref="BA106:BA108"/>
    <mergeCell ref="BB106:BB108"/>
    <mergeCell ref="BC106:BC108"/>
    <mergeCell ref="BD106:BD108"/>
    <mergeCell ref="BE106:BE108"/>
    <mergeCell ref="S106:U108"/>
    <mergeCell ref="AU106:AU108"/>
    <mergeCell ref="AV106:AV108"/>
    <mergeCell ref="AV109:AV111"/>
    <mergeCell ref="G115:I117"/>
    <mergeCell ref="P115:R117"/>
    <mergeCell ref="S115:U117"/>
    <mergeCell ref="AN115:AT117"/>
    <mergeCell ref="AW115:AW117"/>
    <mergeCell ref="AX115:AX117"/>
    <mergeCell ref="AY115:AY117"/>
    <mergeCell ref="AZ115:AZ117"/>
    <mergeCell ref="BA115:BA117"/>
    <mergeCell ref="BB115:BB117"/>
    <mergeCell ref="BC115:BC117"/>
    <mergeCell ref="BD115:BD117"/>
    <mergeCell ref="BE115:BE117"/>
    <mergeCell ref="BF115:BF117"/>
    <mergeCell ref="AW112:AW114"/>
    <mergeCell ref="AX112:AX114"/>
    <mergeCell ref="AY112:AY114"/>
    <mergeCell ref="AZ112:AZ114"/>
    <mergeCell ref="BA112:BA114"/>
    <mergeCell ref="BB112:BB114"/>
    <mergeCell ref="BC112:BC114"/>
    <mergeCell ref="BD112:BD114"/>
    <mergeCell ref="BE112:BE114"/>
    <mergeCell ref="J115:O117"/>
    <mergeCell ref="AU115:AU117"/>
    <mergeCell ref="AV115:AV117"/>
    <mergeCell ref="AX118:AX120"/>
    <mergeCell ref="AY118:AY120"/>
    <mergeCell ref="AZ118:AZ120"/>
    <mergeCell ref="BA118:BA120"/>
    <mergeCell ref="BB118:BB120"/>
    <mergeCell ref="BC118:BC120"/>
    <mergeCell ref="BD118:BD120"/>
    <mergeCell ref="BE118:BE120"/>
    <mergeCell ref="BF118:BF120"/>
    <mergeCell ref="J118:O120"/>
    <mergeCell ref="G118:I120"/>
    <mergeCell ref="P118:R120"/>
    <mergeCell ref="S118:U120"/>
    <mergeCell ref="AN118:AT120"/>
    <mergeCell ref="AW118:AW120"/>
    <mergeCell ref="AX124:AX126"/>
    <mergeCell ref="AY124:AY126"/>
    <mergeCell ref="AZ124:AZ126"/>
    <mergeCell ref="BA124:BA126"/>
    <mergeCell ref="BB124:BB126"/>
    <mergeCell ref="BC124:BC126"/>
    <mergeCell ref="AX121:AX123"/>
    <mergeCell ref="AY121:AY123"/>
    <mergeCell ref="AZ121:AZ123"/>
    <mergeCell ref="BA121:BA123"/>
    <mergeCell ref="BB121:BB123"/>
    <mergeCell ref="BC121:BC123"/>
    <mergeCell ref="J121:O123"/>
    <mergeCell ref="J124:O126"/>
    <mergeCell ref="BD121:BD123"/>
    <mergeCell ref="BE121:BE123"/>
    <mergeCell ref="BF121:BF123"/>
    <mergeCell ref="G121:I123"/>
    <mergeCell ref="P121:R123"/>
    <mergeCell ref="S121:U123"/>
    <mergeCell ref="AW121:AW123"/>
    <mergeCell ref="BD124:BD126"/>
    <mergeCell ref="BE124:BE126"/>
    <mergeCell ref="BF124:BF126"/>
    <mergeCell ref="A127:B129"/>
    <mergeCell ref="G127:I129"/>
    <mergeCell ref="P127:R129"/>
    <mergeCell ref="S127:U129"/>
    <mergeCell ref="AN127:AT129"/>
    <mergeCell ref="AW127:AW129"/>
    <mergeCell ref="AX127:AX129"/>
    <mergeCell ref="AY127:AY129"/>
    <mergeCell ref="AZ127:AZ129"/>
    <mergeCell ref="BA127:BA129"/>
    <mergeCell ref="BB127:BB129"/>
    <mergeCell ref="BC127:BC129"/>
    <mergeCell ref="BD127:BD129"/>
    <mergeCell ref="BE127:BE129"/>
    <mergeCell ref="BF127:BF129"/>
    <mergeCell ref="A124:B126"/>
    <mergeCell ref="G124:I126"/>
    <mergeCell ref="P124:R126"/>
    <mergeCell ref="S124:U126"/>
    <mergeCell ref="AN124:AT126"/>
    <mergeCell ref="AW124:AW126"/>
    <mergeCell ref="AV124:AV126"/>
    <mergeCell ref="AU127:AU129"/>
    <mergeCell ref="C127:F127"/>
    <mergeCell ref="BA130:BA132"/>
    <mergeCell ref="BB130:BB132"/>
    <mergeCell ref="BC130:BC132"/>
    <mergeCell ref="BD130:BD132"/>
    <mergeCell ref="BE130:BE132"/>
    <mergeCell ref="BF130:BF132"/>
    <mergeCell ref="A133:B135"/>
    <mergeCell ref="G133:I135"/>
    <mergeCell ref="P133:R135"/>
    <mergeCell ref="S133:U135"/>
    <mergeCell ref="AN133:AT135"/>
    <mergeCell ref="AW133:AW135"/>
    <mergeCell ref="AX133:AX135"/>
    <mergeCell ref="AY133:AY135"/>
    <mergeCell ref="AZ133:AZ135"/>
    <mergeCell ref="BA133:BA135"/>
    <mergeCell ref="BB133:BB135"/>
    <mergeCell ref="BC133:BC135"/>
    <mergeCell ref="BD133:BD135"/>
    <mergeCell ref="AN130:AT132"/>
    <mergeCell ref="AW130:AW132"/>
    <mergeCell ref="AX130:AX132"/>
    <mergeCell ref="AY130:AY132"/>
    <mergeCell ref="AZ130:AZ132"/>
    <mergeCell ref="A130:B132"/>
    <mergeCell ref="C134:F134"/>
    <mergeCell ref="V133:AM135"/>
    <mergeCell ref="BE133:BE135"/>
    <mergeCell ref="BF133:BF135"/>
    <mergeCell ref="J133:O135"/>
    <mergeCell ref="A136:B138"/>
    <mergeCell ref="G136:I138"/>
    <mergeCell ref="P136:R138"/>
    <mergeCell ref="S136:U138"/>
    <mergeCell ref="AN136:AT138"/>
    <mergeCell ref="AW136:AW138"/>
    <mergeCell ref="AX136:AX138"/>
    <mergeCell ref="AY136:AY138"/>
    <mergeCell ref="AZ136:AZ138"/>
    <mergeCell ref="BA136:BA138"/>
    <mergeCell ref="BB136:BB138"/>
    <mergeCell ref="BC136:BC138"/>
    <mergeCell ref="BD136:BD138"/>
    <mergeCell ref="BE136:BE138"/>
    <mergeCell ref="BF136:BF138"/>
    <mergeCell ref="V136:AM138"/>
    <mergeCell ref="BA139:BA141"/>
    <mergeCell ref="BB139:BB141"/>
    <mergeCell ref="BC139:BC141"/>
    <mergeCell ref="BD139:BD141"/>
    <mergeCell ref="BE139:BE141"/>
    <mergeCell ref="BF139:BF141"/>
    <mergeCell ref="P139:R141"/>
    <mergeCell ref="S139:U141"/>
    <mergeCell ref="J136:O138"/>
    <mergeCell ref="J139:O141"/>
    <mergeCell ref="AU136:AU138"/>
    <mergeCell ref="AV136:AV138"/>
    <mergeCell ref="AV139:AV141"/>
    <mergeCell ref="AU139:AU141"/>
    <mergeCell ref="A142:B144"/>
    <mergeCell ref="G142:I144"/>
    <mergeCell ref="P142:R144"/>
    <mergeCell ref="S142:U144"/>
    <mergeCell ref="AN142:AT144"/>
    <mergeCell ref="AW142:AW144"/>
    <mergeCell ref="AX142:AX144"/>
    <mergeCell ref="AY142:AY144"/>
    <mergeCell ref="AZ142:AZ144"/>
    <mergeCell ref="BA142:BA144"/>
    <mergeCell ref="BB142:BB144"/>
    <mergeCell ref="BC142:BC144"/>
    <mergeCell ref="BD142:BD144"/>
    <mergeCell ref="AN139:AT141"/>
    <mergeCell ref="AW139:AW141"/>
    <mergeCell ref="AX139:AX141"/>
    <mergeCell ref="AY139:AY141"/>
    <mergeCell ref="AZ139:AZ141"/>
    <mergeCell ref="A139:B141"/>
    <mergeCell ref="J142:O144"/>
    <mergeCell ref="V139:AM141"/>
    <mergeCell ref="V142:AM144"/>
    <mergeCell ref="AV142:AV144"/>
    <mergeCell ref="AU142:AU144"/>
    <mergeCell ref="BE142:BE144"/>
    <mergeCell ref="BF142:BF144"/>
    <mergeCell ref="A148:B150"/>
    <mergeCell ref="G148:I150"/>
    <mergeCell ref="P148:R150"/>
    <mergeCell ref="S148:U150"/>
    <mergeCell ref="AN148:AT150"/>
    <mergeCell ref="AW148:AW150"/>
    <mergeCell ref="AX148:AX150"/>
    <mergeCell ref="AY148:AY150"/>
    <mergeCell ref="AZ148:AZ150"/>
    <mergeCell ref="BA148:BA150"/>
    <mergeCell ref="BB148:BB150"/>
    <mergeCell ref="BC148:BC150"/>
    <mergeCell ref="BD148:BD150"/>
    <mergeCell ref="BE148:BE150"/>
    <mergeCell ref="BF148:BF150"/>
    <mergeCell ref="A145:B147"/>
    <mergeCell ref="AW145:AW147"/>
    <mergeCell ref="J145:O147"/>
    <mergeCell ref="J148:O150"/>
    <mergeCell ref="V145:AM147"/>
    <mergeCell ref="V148:AM150"/>
    <mergeCell ref="AX145:AX147"/>
    <mergeCell ref="AY145:AY147"/>
    <mergeCell ref="AZ145:AZ147"/>
    <mergeCell ref="BA145:BA147"/>
    <mergeCell ref="BB145:BB147"/>
    <mergeCell ref="BC145:BC147"/>
    <mergeCell ref="BD145:BD147"/>
    <mergeCell ref="BE145:BE147"/>
    <mergeCell ref="BF145:BF147"/>
    <mergeCell ref="S145:U147"/>
    <mergeCell ref="AN145:AT147"/>
    <mergeCell ref="C146:F146"/>
    <mergeCell ref="C147:F147"/>
    <mergeCell ref="BA151:BA153"/>
    <mergeCell ref="BB151:BB153"/>
    <mergeCell ref="BC151:BC153"/>
    <mergeCell ref="BD151:BD153"/>
    <mergeCell ref="BE151:BE153"/>
    <mergeCell ref="BF151:BF153"/>
    <mergeCell ref="C152:F152"/>
    <mergeCell ref="A154:B156"/>
    <mergeCell ref="G154:I156"/>
    <mergeCell ref="P154:R156"/>
    <mergeCell ref="S154:U156"/>
    <mergeCell ref="AN154:AT156"/>
    <mergeCell ref="AW154:AW156"/>
    <mergeCell ref="AX154:AX156"/>
    <mergeCell ref="AY154:AY156"/>
    <mergeCell ref="AZ154:AZ156"/>
    <mergeCell ref="BA154:BA156"/>
    <mergeCell ref="BB154:BB156"/>
    <mergeCell ref="BC154:BC156"/>
    <mergeCell ref="C151:F151"/>
    <mergeCell ref="G151:I153"/>
    <mergeCell ref="P151:R153"/>
    <mergeCell ref="S151:U153"/>
    <mergeCell ref="AN151:AT153"/>
    <mergeCell ref="A151:B153"/>
    <mergeCell ref="BD154:BD156"/>
    <mergeCell ref="BE154:BE156"/>
    <mergeCell ref="BF154:BF156"/>
    <mergeCell ref="A157:B159"/>
    <mergeCell ref="G157:I159"/>
    <mergeCell ref="P157:R159"/>
    <mergeCell ref="S157:U159"/>
    <mergeCell ref="AN157:AT159"/>
    <mergeCell ref="AW157:AW159"/>
    <mergeCell ref="AX157:AX159"/>
    <mergeCell ref="AY157:AY159"/>
    <mergeCell ref="AZ157:AZ159"/>
    <mergeCell ref="BA157:BA159"/>
    <mergeCell ref="BB157:BB159"/>
    <mergeCell ref="BC157:BC159"/>
    <mergeCell ref="BD157:BD159"/>
    <mergeCell ref="BE157:BE159"/>
    <mergeCell ref="BF157:BF159"/>
    <mergeCell ref="C154:F154"/>
    <mergeCell ref="V157:AM159"/>
    <mergeCell ref="AV157:AV159"/>
    <mergeCell ref="AU157:AU159"/>
    <mergeCell ref="AU154:AU156"/>
    <mergeCell ref="BF160:BF162"/>
    <mergeCell ref="A163:B165"/>
    <mergeCell ref="G163:I165"/>
    <mergeCell ref="P163:R165"/>
    <mergeCell ref="S163:U165"/>
    <mergeCell ref="AN163:AT165"/>
    <mergeCell ref="AW163:AW165"/>
    <mergeCell ref="AX163:AX165"/>
    <mergeCell ref="AY163:AY165"/>
    <mergeCell ref="AZ163:AZ165"/>
    <mergeCell ref="BA163:BA165"/>
    <mergeCell ref="BB163:BB165"/>
    <mergeCell ref="BC163:BC165"/>
    <mergeCell ref="BD163:BD165"/>
    <mergeCell ref="BE163:BE165"/>
    <mergeCell ref="BF163:BF165"/>
    <mergeCell ref="AW160:AW162"/>
    <mergeCell ref="AX160:AX162"/>
    <mergeCell ref="AY160:AY162"/>
    <mergeCell ref="AZ160:AZ162"/>
    <mergeCell ref="BA160:BA162"/>
    <mergeCell ref="BB160:BB162"/>
    <mergeCell ref="BC160:BC162"/>
    <mergeCell ref="BD160:BD162"/>
    <mergeCell ref="BE160:BE162"/>
    <mergeCell ref="AN160:AT162"/>
    <mergeCell ref="C165:F165"/>
    <mergeCell ref="V160:AM162"/>
    <mergeCell ref="V163:AM165"/>
    <mergeCell ref="AV160:AV162"/>
    <mergeCell ref="AW166:AW168"/>
    <mergeCell ref="AX166:AX168"/>
    <mergeCell ref="AY166:AY168"/>
    <mergeCell ref="AZ166:AZ168"/>
    <mergeCell ref="BA166:BA168"/>
    <mergeCell ref="BB166:BB168"/>
    <mergeCell ref="BC166:BC168"/>
    <mergeCell ref="BD166:BD168"/>
    <mergeCell ref="BE166:BE168"/>
    <mergeCell ref="A166:B168"/>
    <mergeCell ref="G166:I168"/>
    <mergeCell ref="P166:R168"/>
    <mergeCell ref="S166:U168"/>
    <mergeCell ref="AN166:AT168"/>
    <mergeCell ref="BF166:BF168"/>
    <mergeCell ref="A169:B171"/>
    <mergeCell ref="G169:I171"/>
    <mergeCell ref="P169:R171"/>
    <mergeCell ref="S169:U171"/>
    <mergeCell ref="AN169:AT171"/>
    <mergeCell ref="AW169:AW171"/>
    <mergeCell ref="AX169:AX171"/>
    <mergeCell ref="AY169:AY171"/>
    <mergeCell ref="AZ169:AZ171"/>
    <mergeCell ref="BA169:BA171"/>
    <mergeCell ref="BB169:BB171"/>
    <mergeCell ref="BC169:BC171"/>
    <mergeCell ref="BD169:BD171"/>
    <mergeCell ref="BE169:BE171"/>
    <mergeCell ref="BF169:BF171"/>
    <mergeCell ref="C166:F166"/>
    <mergeCell ref="C171:F171"/>
    <mergeCell ref="AZ15:BH15"/>
    <mergeCell ref="G16:O16"/>
    <mergeCell ref="P16:X16"/>
    <mergeCell ref="Y16:AG16"/>
    <mergeCell ref="AH16:AP16"/>
    <mergeCell ref="AZ16:BH16"/>
    <mergeCell ref="G21:O21"/>
    <mergeCell ref="P21:X21"/>
    <mergeCell ref="Y21:AG21"/>
    <mergeCell ref="AH21:AP21"/>
    <mergeCell ref="G22:O22"/>
    <mergeCell ref="P22:X22"/>
    <mergeCell ref="Y22:AG22"/>
    <mergeCell ref="AH22:AP22"/>
    <mergeCell ref="AW25:AY25"/>
    <mergeCell ref="AZ25:BB25"/>
    <mergeCell ref="AK26:AM26"/>
    <mergeCell ref="AN26:AP26"/>
    <mergeCell ref="AQ26:AS26"/>
    <mergeCell ref="AW26:AY26"/>
    <mergeCell ref="AZ26:BB26"/>
    <mergeCell ref="AB25:AD25"/>
    <mergeCell ref="AE25:AG25"/>
    <mergeCell ref="AH25:AJ25"/>
    <mergeCell ref="S25:U25"/>
    <mergeCell ref="V25:X25"/>
    <mergeCell ref="Y25:AA25"/>
    <mergeCell ref="M26:O26"/>
    <mergeCell ref="P26:R26"/>
    <mergeCell ref="S26:U26"/>
    <mergeCell ref="V26:X26"/>
    <mergeCell ref="Y26:AA26"/>
    <mergeCell ref="AB24:AJ24"/>
    <mergeCell ref="AK25:AM25"/>
    <mergeCell ref="AN25:AP25"/>
    <mergeCell ref="AQ25:AS25"/>
    <mergeCell ref="L28:P28"/>
    <mergeCell ref="L29:P29"/>
    <mergeCell ref="G33:I33"/>
    <mergeCell ref="S32:U32"/>
    <mergeCell ref="V32:X32"/>
    <mergeCell ref="A15:F16"/>
    <mergeCell ref="G15:O15"/>
    <mergeCell ref="P15:X15"/>
    <mergeCell ref="Y15:AG15"/>
    <mergeCell ref="AH15:AP15"/>
    <mergeCell ref="A31:F33"/>
    <mergeCell ref="A24:F26"/>
    <mergeCell ref="G31:O31"/>
    <mergeCell ref="AB31:AJ31"/>
    <mergeCell ref="J32:L32"/>
    <mergeCell ref="M32:O32"/>
    <mergeCell ref="P31:AA31"/>
    <mergeCell ref="AB26:AD26"/>
    <mergeCell ref="AE26:AG26"/>
    <mergeCell ref="AE32:AG32"/>
    <mergeCell ref="AH32:AJ32"/>
    <mergeCell ref="AH33:AJ33"/>
    <mergeCell ref="G18:O18"/>
    <mergeCell ref="P18:X18"/>
    <mergeCell ref="G19:O19"/>
    <mergeCell ref="P19:X19"/>
    <mergeCell ref="BC25:BE25"/>
    <mergeCell ref="BF25:BH25"/>
    <mergeCell ref="BC26:BE26"/>
    <mergeCell ref="BF26:BH26"/>
    <mergeCell ref="G28:K28"/>
    <mergeCell ref="V28:Z28"/>
    <mergeCell ref="AA28:AE28"/>
    <mergeCell ref="AF28:AJ28"/>
    <mergeCell ref="Q28:U28"/>
    <mergeCell ref="AP28:AT28"/>
    <mergeCell ref="AK28:AO28"/>
    <mergeCell ref="G29:K29"/>
    <mergeCell ref="V29:Z29"/>
    <mergeCell ref="AA29:AE29"/>
    <mergeCell ref="AF29:AJ29"/>
    <mergeCell ref="Q29:U29"/>
    <mergeCell ref="AP29:AT29"/>
    <mergeCell ref="AK29:AO29"/>
    <mergeCell ref="BG73:BL75"/>
    <mergeCell ref="BG76:BL78"/>
    <mergeCell ref="BG79:BL81"/>
    <mergeCell ref="BG82:BL84"/>
    <mergeCell ref="BG85:BL87"/>
    <mergeCell ref="BI32:BK32"/>
    <mergeCell ref="BI33:BK33"/>
    <mergeCell ref="AW31:BK31"/>
    <mergeCell ref="BI25:BK25"/>
    <mergeCell ref="BI26:BK26"/>
    <mergeCell ref="AW24:BK24"/>
    <mergeCell ref="A52:B54"/>
    <mergeCell ref="C52:F52"/>
    <mergeCell ref="G52:I54"/>
    <mergeCell ref="J52:O54"/>
    <mergeCell ref="P52:R54"/>
    <mergeCell ref="S52:U54"/>
    <mergeCell ref="V52:AM54"/>
    <mergeCell ref="AN52:AT54"/>
    <mergeCell ref="AV52:AV54"/>
    <mergeCell ref="AU52:AU54"/>
    <mergeCell ref="AW52:AW54"/>
    <mergeCell ref="AX52:AX54"/>
    <mergeCell ref="AY52:AY54"/>
    <mergeCell ref="AZ52:AZ54"/>
    <mergeCell ref="BA52:BA54"/>
    <mergeCell ref="BB52:BB54"/>
    <mergeCell ref="BC52:BC54"/>
    <mergeCell ref="BD52:BD54"/>
    <mergeCell ref="BE52:BE54"/>
    <mergeCell ref="BF52:BF54"/>
    <mergeCell ref="A46:B48"/>
    <mergeCell ref="BG88:BL90"/>
    <mergeCell ref="BG91:BL93"/>
    <mergeCell ref="BY49:BY51"/>
    <mergeCell ref="BZ49:BZ51"/>
    <mergeCell ref="C50:F50"/>
    <mergeCell ref="C51:F51"/>
    <mergeCell ref="BA49:BA51"/>
    <mergeCell ref="BB49:BB51"/>
    <mergeCell ref="BC49:BC51"/>
    <mergeCell ref="BD49:BD51"/>
    <mergeCell ref="BE49:BE51"/>
    <mergeCell ref="BF49:BF51"/>
    <mergeCell ref="BR49:BR51"/>
    <mergeCell ref="BS49:BS51"/>
    <mergeCell ref="BT49:BT51"/>
    <mergeCell ref="BU49:BU51"/>
    <mergeCell ref="BV49:BV51"/>
    <mergeCell ref="BW49:BW51"/>
    <mergeCell ref="BO49:BO51"/>
    <mergeCell ref="BP49:BP51"/>
    <mergeCell ref="BY52:BY54"/>
    <mergeCell ref="BZ52:BZ54"/>
    <mergeCell ref="C53:F53"/>
    <mergeCell ref="C54:F54"/>
    <mergeCell ref="BQ49:BQ51"/>
    <mergeCell ref="BG49:BL51"/>
    <mergeCell ref="BG64:BL66"/>
    <mergeCell ref="BG61:BL63"/>
    <mergeCell ref="BG58:BL60"/>
    <mergeCell ref="BG55:BL57"/>
    <mergeCell ref="BG67:BL69"/>
    <mergeCell ref="BG70:BL72"/>
    <mergeCell ref="BG145:BL147"/>
    <mergeCell ref="BG148:BL150"/>
    <mergeCell ref="BG151:BL153"/>
    <mergeCell ref="BG154:BL156"/>
    <mergeCell ref="BG157:BL159"/>
    <mergeCell ref="BG160:BL162"/>
    <mergeCell ref="BG163:BL165"/>
    <mergeCell ref="BG166:BL168"/>
    <mergeCell ref="BG169:BL171"/>
    <mergeCell ref="AU28:AY28"/>
    <mergeCell ref="AU29:AY29"/>
    <mergeCell ref="BG94:BL96"/>
    <mergeCell ref="BG97:BL99"/>
    <mergeCell ref="BG100:BL102"/>
    <mergeCell ref="BG103:BL105"/>
    <mergeCell ref="BG106:BL108"/>
    <mergeCell ref="BG109:BL111"/>
    <mergeCell ref="BG112:BL114"/>
    <mergeCell ref="BG115:BL117"/>
    <mergeCell ref="BG118:BL120"/>
    <mergeCell ref="BG121:BL123"/>
    <mergeCell ref="BG124:BL126"/>
    <mergeCell ref="BG127:BL129"/>
    <mergeCell ref="BG130:BL132"/>
    <mergeCell ref="BG133:BL135"/>
    <mergeCell ref="BG136:BL138"/>
    <mergeCell ref="BG139:BL141"/>
    <mergeCell ref="BG142:BL144"/>
    <mergeCell ref="BG37:BL39"/>
    <mergeCell ref="BG40:BL42"/>
    <mergeCell ref="BG52:BL54"/>
    <mergeCell ref="AU46:AU48"/>
    <mergeCell ref="BY46:BY48"/>
    <mergeCell ref="BZ46:BZ48"/>
    <mergeCell ref="C47:F47"/>
    <mergeCell ref="C48:F48"/>
    <mergeCell ref="AV46:AV48"/>
    <mergeCell ref="AW46:AW48"/>
    <mergeCell ref="AX46:AX48"/>
    <mergeCell ref="AY46:AY48"/>
    <mergeCell ref="AZ46:AZ48"/>
    <mergeCell ref="BA46:BA48"/>
    <mergeCell ref="BB46:BB48"/>
    <mergeCell ref="BC46:BC48"/>
    <mergeCell ref="BD46:BD48"/>
    <mergeCell ref="BE46:BE48"/>
    <mergeCell ref="BF46:BF48"/>
    <mergeCell ref="BG46:BL48"/>
    <mergeCell ref="BO46:BO48"/>
    <mergeCell ref="BP46:BP48"/>
    <mergeCell ref="BQ46:BQ48"/>
    <mergeCell ref="BR46:BR48"/>
    <mergeCell ref="BS46:BS48"/>
    <mergeCell ref="BW43:BW45"/>
    <mergeCell ref="BY43:BY45"/>
    <mergeCell ref="BZ43:BZ45"/>
    <mergeCell ref="C44:F44"/>
    <mergeCell ref="C45:F45"/>
    <mergeCell ref="AU43:AU45"/>
    <mergeCell ref="AV43:AV45"/>
    <mergeCell ref="AW43:AW45"/>
    <mergeCell ref="AX43:AX45"/>
    <mergeCell ref="AY43:AY45"/>
    <mergeCell ref="AZ43:AZ45"/>
    <mergeCell ref="BA43:BA45"/>
    <mergeCell ref="BB43:BB45"/>
    <mergeCell ref="BC43:BC45"/>
    <mergeCell ref="BD43:BD45"/>
    <mergeCell ref="BE43:BE45"/>
    <mergeCell ref="BF43:BF45"/>
    <mergeCell ref="BG43:BL45"/>
    <mergeCell ref="BO43:BO45"/>
    <mergeCell ref="BP43:BP45"/>
    <mergeCell ref="BQ43:BQ45"/>
    <mergeCell ref="BR43:BR45"/>
  </mergeCells>
  <phoneticPr fontId="2"/>
  <printOptions horizontalCentered="1"/>
  <pageMargins left="0.19685039370078741" right="0.19685039370078741" top="0.78740157480314965" bottom="0.39370078740157483" header="0.39370078740157483" footer="0.11811023622047245"/>
  <pageSetup paperSize="9" scale="59" orientation="portrait" horizontalDpi="4294967293" r:id="rId1"/>
  <headerFooter alignWithMargins="0">
    <oddHeader>&amp;C&amp;20&amp;U業務経歴書</oddHeader>
    <oddFooter>&amp;C&amp;P／&amp;N</oddFooter>
  </headerFooter>
  <rowBreaks count="3" manualBreakCount="3">
    <brk id="66" max="64" man="1"/>
    <brk id="108" max="16383" man="1"/>
    <brk id="1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表紙</vt:lpstr>
      <vt:lpstr>表紙!Print_Area</vt:lpstr>
      <vt:lpstr>表紙!Print_Titles</vt:lpstr>
    </vt:vector>
  </TitlesOfParts>
  <Manager/>
  <Company>Servcorp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須永 奈々</cp:lastModifiedBy>
  <cp:revision/>
  <cp:lastPrinted>2026-05-28T16:04:33Z</cp:lastPrinted>
  <dcterms:created xsi:type="dcterms:W3CDTF">2009-07-10T06:25:28Z</dcterms:created>
  <dcterms:modified xsi:type="dcterms:W3CDTF">2026-06-26T06:43:16Z</dcterms:modified>
  <cp:category/>
  <cp:contentStatus/>
</cp:coreProperties>
</file>