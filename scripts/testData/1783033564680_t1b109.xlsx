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https://pegasusholdings01-my.sharepoint.com/personal/takumi_tomii_pegasusholdings01_onmicrosoft_com/Documents/ドキュメント/UCT岩澤慎平【担当：CY大原】/スキルシート/"/>
    </mc:Choice>
  </mc:AlternateContent>
  <xr:revisionPtr revIDLastSave="31" documentId="8_{CAF1B349-8C7F-4D91-A590-88E983D56454}" xr6:coauthVersionLast="47" xr6:coauthVersionMax="47" xr10:uidLastSave="{1A388E49-080B-4A13-979E-65D2DBFA2A7C}"/>
  <bookViews>
    <workbookView xWindow="-120" yWindow="-120" windowWidth="29040" windowHeight="15720" xr2:uid="{82F190F0-2399-404F-A43F-655362A344CB}"/>
  </bookViews>
  <sheets>
    <sheet name="S.I" sheetId="3" r:id="rId1"/>
  </sheets>
  <definedNames>
    <definedName name="_xlnm.Print_Area" localSheetId="0">S.I!$A$1:$BC$300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0" i="3" l="1"/>
  <c r="C278" i="3"/>
  <c r="C266" i="3"/>
  <c r="C254" i="3"/>
  <c r="C242" i="3"/>
  <c r="C230" i="3"/>
  <c r="C213" i="3"/>
  <c r="C201" i="3"/>
  <c r="C173" i="3"/>
  <c r="C161" i="3"/>
  <c r="C149" i="3"/>
  <c r="C137" i="3"/>
  <c r="C125" i="3"/>
  <c r="C113" i="3"/>
  <c r="C101" i="3"/>
  <c r="C89" i="3"/>
  <c r="C77" i="3"/>
  <c r="C65" i="3"/>
  <c r="C53" i="3"/>
  <c r="C41" i="3"/>
  <c r="C29" i="3"/>
  <c r="AE2" i="3" l="1"/>
</calcChain>
</file>

<file path=xl/sharedStrings.xml><?xml version="1.0" encoding="utf-8"?>
<sst xmlns="http://schemas.openxmlformats.org/spreadsheetml/2006/main" count="743" uniqueCount="135">
  <si>
    <t>SKILL SHEET</t>
    <phoneticPr fontId="2"/>
  </si>
  <si>
    <t>自己分析グラフデータ入力</t>
    <rPh sb="0" eb="4">
      <t>ジコブンセキ</t>
    </rPh>
    <rPh sb="10" eb="12">
      <t>ニュウリョク</t>
    </rPh>
    <phoneticPr fontId="2"/>
  </si>
  <si>
    <t>フリガナ</t>
    <phoneticPr fontId="2"/>
  </si>
  <si>
    <t>性別</t>
    <rPh sb="0" eb="2">
      <t>セイベツ</t>
    </rPh>
    <phoneticPr fontId="2"/>
  </si>
  <si>
    <t>男</t>
    <rPh sb="0" eb="1">
      <t>オトコ</t>
    </rPh>
    <phoneticPr fontId="2"/>
  </si>
  <si>
    <t>保有資格</t>
    <rPh sb="0" eb="4">
      <t>ホユウシカク</t>
    </rPh>
    <phoneticPr fontId="2"/>
  </si>
  <si>
    <t>氏名</t>
    <rPh sb="0" eb="2">
      <t>シメイ</t>
    </rPh>
    <phoneticPr fontId="2"/>
  </si>
  <si>
    <t>S.I</t>
  </si>
  <si>
    <t>年齢</t>
    <rPh sb="0" eb="2">
      <t>ネンレイ</t>
    </rPh>
    <phoneticPr fontId="2"/>
  </si>
  <si>
    <t>最寄駅</t>
    <rPh sb="0" eb="2">
      <t>モヨ</t>
    </rPh>
    <rPh sb="2" eb="3">
      <t>エキ</t>
    </rPh>
    <phoneticPr fontId="2"/>
  </si>
  <si>
    <t>　西武新宿線　花小金井駅</t>
    <rPh sb="1" eb="6">
      <t>セイブシンジュクセン</t>
    </rPh>
    <rPh sb="5" eb="6">
      <t>セン</t>
    </rPh>
    <rPh sb="7" eb="11">
      <t>ハナコガネイ</t>
    </rPh>
    <rPh sb="11" eb="12">
      <t>エキ</t>
    </rPh>
    <phoneticPr fontId="2"/>
  </si>
  <si>
    <t>最終学歴</t>
    <rPh sb="0" eb="2">
      <t>サイシュウ</t>
    </rPh>
    <rPh sb="2" eb="4">
      <t>ガクレキ</t>
    </rPh>
    <phoneticPr fontId="2"/>
  </si>
  <si>
    <t>　某大学　卒業</t>
    <rPh sb="1" eb="2">
      <t>ボウ</t>
    </rPh>
    <rPh sb="2" eb="4">
      <t>ダイガク</t>
    </rPh>
    <rPh sb="5" eb="7">
      <t>ソツギョウ</t>
    </rPh>
    <phoneticPr fontId="2"/>
  </si>
  <si>
    <t xml:space="preserve">     ◎＝業務経験1年以上            ○＝業務経験有               ◇＝業務知識有</t>
    <rPh sb="7" eb="9">
      <t>ギョウム</t>
    </rPh>
    <rPh sb="29" eb="31">
      <t>ギョウム</t>
    </rPh>
    <rPh sb="33" eb="34">
      <t>ユウ</t>
    </rPh>
    <rPh sb="51" eb="53">
      <t>ギョウム</t>
    </rPh>
    <rPh sb="55" eb="56">
      <t>ユウ</t>
    </rPh>
    <phoneticPr fontId="2"/>
  </si>
  <si>
    <t>スキル</t>
    <phoneticPr fontId="2"/>
  </si>
  <si>
    <t>計画立案</t>
    <rPh sb="0" eb="4">
      <t>ケイカクリツアン</t>
    </rPh>
    <phoneticPr fontId="2"/>
  </si>
  <si>
    <t>要件定義</t>
    <rPh sb="0" eb="4">
      <t>ヨウケンテイギ</t>
    </rPh>
    <phoneticPr fontId="2"/>
  </si>
  <si>
    <t>基本設計</t>
    <rPh sb="0" eb="4">
      <t>キホンセッケイ</t>
    </rPh>
    <phoneticPr fontId="2"/>
  </si>
  <si>
    <t>詳細設計</t>
    <rPh sb="0" eb="4">
      <t>ショウサイセッケイ</t>
    </rPh>
    <phoneticPr fontId="2"/>
  </si>
  <si>
    <t>構築</t>
    <rPh sb="0" eb="2">
      <t>コウチク</t>
    </rPh>
    <phoneticPr fontId="2"/>
  </si>
  <si>
    <t>単体試験</t>
    <rPh sb="0" eb="4">
      <t>タンタイシケン</t>
    </rPh>
    <phoneticPr fontId="2"/>
  </si>
  <si>
    <t>結合試験</t>
    <rPh sb="0" eb="2">
      <t>ケツゴウ</t>
    </rPh>
    <rPh sb="2" eb="4">
      <t>シケン</t>
    </rPh>
    <phoneticPr fontId="2"/>
  </si>
  <si>
    <t>総合試験</t>
    <rPh sb="0" eb="4">
      <t>ソウゴウシケン</t>
    </rPh>
    <phoneticPr fontId="2"/>
  </si>
  <si>
    <t>運用保守</t>
    <rPh sb="0" eb="2">
      <t>ウンヨウ</t>
    </rPh>
    <rPh sb="2" eb="4">
      <t>ホシュ</t>
    </rPh>
    <phoneticPr fontId="2"/>
  </si>
  <si>
    <t>コンピュータ言語</t>
    <rPh sb="6" eb="8">
      <t>ゲンゴ</t>
    </rPh>
    <phoneticPr fontId="2"/>
  </si>
  <si>
    <t>業務経験</t>
    <rPh sb="0" eb="4">
      <t>ギョウムケイケン</t>
    </rPh>
    <phoneticPr fontId="2"/>
  </si>
  <si>
    <t>　PHP、ExcelVBA、SQL、C言語</t>
    <rPh sb="19" eb="21">
      <t>ゲンゴ</t>
    </rPh>
    <phoneticPr fontId="2"/>
  </si>
  <si>
    <t>-</t>
  </si>
  <si>
    <t>〇</t>
  </si>
  <si>
    <t>◎</t>
  </si>
  <si>
    <t>知識有り</t>
    <rPh sb="0" eb="3">
      <t>チシキアリ</t>
    </rPh>
    <phoneticPr fontId="2"/>
  </si>
  <si>
    <t xml:space="preserve">  Java、JavaScript、HTML、Vue.js、.Net 、RubyonRails</t>
    <phoneticPr fontId="2"/>
  </si>
  <si>
    <t>サーバOS</t>
    <phoneticPr fontId="2"/>
  </si>
  <si>
    <t xml:space="preserve">  Linux(CentOS) </t>
    <phoneticPr fontId="2"/>
  </si>
  <si>
    <t>ITコンサル</t>
    <phoneticPr fontId="2"/>
  </si>
  <si>
    <t>PM</t>
    <phoneticPr fontId="2"/>
  </si>
  <si>
    <t>PL</t>
    <phoneticPr fontId="2"/>
  </si>
  <si>
    <t>メンバー</t>
    <phoneticPr fontId="2"/>
  </si>
  <si>
    <t>　WindowsServer2001</t>
    <phoneticPr fontId="2"/>
  </si>
  <si>
    <t>データベース</t>
    <phoneticPr fontId="2"/>
  </si>
  <si>
    <t xml:space="preserve">  MySQL、OracleDB、Postgres、MariaDB</t>
    <phoneticPr fontId="2"/>
  </si>
  <si>
    <t xml:space="preserve">  SQLite、Spanner、AWS</t>
    <phoneticPr fontId="2"/>
  </si>
  <si>
    <t>開発・運用ツール</t>
    <rPh sb="0" eb="2">
      <t>カイハツ</t>
    </rPh>
    <rPh sb="3" eb="5">
      <t>ウンヨウ</t>
    </rPh>
    <phoneticPr fontId="2"/>
  </si>
  <si>
    <t>　TeraTerm,WinSCP,Winmerge,A5,Laraver,Cake,Git,
　Vmware,Docker,Codeigniter</t>
    <phoneticPr fontId="2"/>
  </si>
  <si>
    <t>備考</t>
    <rPh sb="0" eb="2">
      <t>ビコウ</t>
    </rPh>
    <phoneticPr fontId="2"/>
  </si>
  <si>
    <t>　PHPUnit,FuelPHP,Symphony,UiPath,ESCORT</t>
    <phoneticPr fontId="2"/>
  </si>
  <si>
    <t>事務系ツール</t>
    <rPh sb="0" eb="3">
      <t>ジムケイ</t>
    </rPh>
    <phoneticPr fontId="2"/>
  </si>
  <si>
    <t>　MS Office</t>
    <phoneticPr fontId="2"/>
  </si>
  <si>
    <t>　</t>
    <phoneticPr fontId="2"/>
  </si>
  <si>
    <t>業務</t>
    <rPh sb="0" eb="2">
      <t>ギョウム</t>
    </rPh>
    <phoneticPr fontId="2"/>
  </si>
  <si>
    <t>　要件定義、基本設計、詳細設計、製造、テスト、運用保守</t>
    <rPh sb="1" eb="5">
      <t>ヨウケンテイギ</t>
    </rPh>
    <rPh sb="6" eb="10">
      <t>キホンセッケイ</t>
    </rPh>
    <rPh sb="11" eb="15">
      <t>ショウサイセッケイ</t>
    </rPh>
    <rPh sb="16" eb="18">
      <t>セイゾウ</t>
    </rPh>
    <rPh sb="23" eb="27">
      <t>ウンヨウホシュ</t>
    </rPh>
    <phoneticPr fontId="2"/>
  </si>
  <si>
    <t>業務内容</t>
    <rPh sb="0" eb="2">
      <t>ギョウム</t>
    </rPh>
    <rPh sb="2" eb="4">
      <t>ナイヨウ</t>
    </rPh>
    <phoneticPr fontId="2"/>
  </si>
  <si>
    <t>No.</t>
    <phoneticPr fontId="2"/>
  </si>
  <si>
    <t>期間</t>
    <rPh sb="0" eb="2">
      <t>キカン</t>
    </rPh>
    <phoneticPr fontId="2"/>
  </si>
  <si>
    <t>内容</t>
    <rPh sb="0" eb="2">
      <t>ナイヨウ</t>
    </rPh>
    <phoneticPr fontId="2"/>
  </si>
  <si>
    <t>-</t>
    <phoneticPr fontId="2"/>
  </si>
  <si>
    <t>案件名</t>
    <rPh sb="0" eb="3">
      <t>アンケンメイ</t>
    </rPh>
    <phoneticPr fontId="2"/>
  </si>
  <si>
    <t xml:space="preserve"> 保険契約システムの改修</t>
    <phoneticPr fontId="2"/>
  </si>
  <si>
    <t>ポジション</t>
    <phoneticPr fontId="2"/>
  </si>
  <si>
    <t xml:space="preserve"> メンバー</t>
    <phoneticPr fontId="2"/>
  </si>
  <si>
    <t>チーム規模</t>
    <rPh sb="3" eb="5">
      <t>キボ</t>
    </rPh>
    <phoneticPr fontId="2"/>
  </si>
  <si>
    <t>3名</t>
    <phoneticPr fontId="2"/>
  </si>
  <si>
    <t>環境</t>
    <rPh sb="0" eb="2">
      <t>カンキョウ</t>
    </rPh>
    <phoneticPr fontId="2"/>
  </si>
  <si>
    <t>担当業務</t>
    <rPh sb="0" eb="2">
      <t>タントウ</t>
    </rPh>
    <rPh sb="2" eb="4">
      <t>ギョウム</t>
    </rPh>
    <phoneticPr fontId="2"/>
  </si>
  <si>
    <t xml:space="preserve">
  ◆製造（開発）
   ・代理店管理サイトの登録処理・契約手続きサイトの処理
　   日付による表示内容の切り替え処理　項目の追加　テーブルの追加　バリデーション処理の追加
　   インターネット募集の改定
   　セット割引
   　負担額導入
　   地震保険関連　等
   ・単体テスト項目書の作成　及び　打鍵
   ・ITA　打鍵
   ・概要書　画面設計書等の修正作業</t>
    <phoneticPr fontId="2"/>
  </si>
  <si>
    <t xml:space="preserve">
【言語】
  PHP
【FW】
  CakePHP
【OS】
  Mac
【DB】
【環境/ツール】
  GitLab</t>
    <phoneticPr fontId="2"/>
  </si>
  <si>
    <t xml:space="preserve"> 鉄道関係バッチシステムの製造</t>
    <rPh sb="1" eb="3">
      <t>テツドウ</t>
    </rPh>
    <rPh sb="3" eb="5">
      <t>カンケイ</t>
    </rPh>
    <rPh sb="13" eb="15">
      <t>セイゾウ</t>
    </rPh>
    <phoneticPr fontId="2"/>
  </si>
  <si>
    <t>6名</t>
    <rPh sb="1" eb="2">
      <t>メイ</t>
    </rPh>
    <phoneticPr fontId="2"/>
  </si>
  <si>
    <t xml:space="preserve">
  ◆製造（開発）
   ・PHPを使用したバッチシステムの製造
   ・クーポン・キャンペーンくじの状況更新バッチの作成
   ・店舗ステータス取り込みシステムの製造
   ・QR一括送金システム画面の改修
   ・利用者取引履歴詳細システム画面の改修
</t>
    <rPh sb="31" eb="33">
      <t>セイゾウ</t>
    </rPh>
    <rPh sb="52" eb="56">
      <t>ジョウキョウコウシン</t>
    </rPh>
    <rPh sb="60" eb="62">
      <t>サクセイ</t>
    </rPh>
    <rPh sb="67" eb="69">
      <t>テンポ</t>
    </rPh>
    <rPh sb="74" eb="75">
      <t>ト</t>
    </rPh>
    <rPh sb="76" eb="77">
      <t>コ</t>
    </rPh>
    <rPh sb="83" eb="85">
      <t>セイゾウ</t>
    </rPh>
    <rPh sb="92" eb="96">
      <t>イッカツソウキン</t>
    </rPh>
    <rPh sb="100" eb="102">
      <t>ガメン</t>
    </rPh>
    <rPh sb="103" eb="105">
      <t>カイシュウ</t>
    </rPh>
    <rPh sb="110" eb="113">
      <t>リヨウシャ</t>
    </rPh>
    <rPh sb="113" eb="115">
      <t>トリヒキ</t>
    </rPh>
    <rPh sb="115" eb="119">
      <t>リレキショウサイ</t>
    </rPh>
    <rPh sb="123" eb="125">
      <t>ガメン</t>
    </rPh>
    <rPh sb="126" eb="128">
      <t>カイシュウ</t>
    </rPh>
    <phoneticPr fontId="2"/>
  </si>
  <si>
    <t xml:space="preserve">
【言語】
  PHP8
【OS】
  Windows
【DB】
【環境/ツール】
　Codeigniter４
　backlog
  GitLab
</t>
    <phoneticPr fontId="2"/>
  </si>
  <si>
    <t xml:space="preserve"> FSシステム開発</t>
    <rPh sb="7" eb="9">
      <t>カイハツ</t>
    </rPh>
    <phoneticPr fontId="2"/>
  </si>
  <si>
    <t>5名</t>
    <rPh sb="1" eb="2">
      <t>メイ</t>
    </rPh>
    <phoneticPr fontId="2"/>
  </si>
  <si>
    <t xml:space="preserve">
  ◆設計（基本設計／詳細設計）
   ・作業依頼～作業完了～報告管理までの業務フローに基づく画面構成と機能設計
   ・DB設計（作業マスタ、顧客情報、作業履歴、報告ファイル管理テーブルなど）
   ・作業予定のカレンダー表示、地図連携表示、報告ファイルアップロード処理の詳細設計
   ・モバイル画面とPC管理画面の機能設計を分離して設計
  ◆製造（開発）
   ・PHPを使用し、サーバーサイド処理・API実装を担当
   ・作業登録、進捗更新、報告ファイル添付、作業員割当機能を実装
   ・フロントエンド（HTML/JavaScript）と連携するデータ処理を構築
   ・一部バッチ処理（CSV出力、作業統計集計）も対応
</t>
    <phoneticPr fontId="2"/>
  </si>
  <si>
    <t xml:space="preserve">
【言語】
  PHP8
【FW】
  Laravel11
【OS】
  Windows
【DB】
【環境/ツール】
　backlog
  Github
  </t>
    <phoneticPr fontId="2"/>
  </si>
  <si>
    <t xml:space="preserve"> 富裕層向け資産運用システムの設計</t>
    <rPh sb="1" eb="4">
      <t>フユウソウ</t>
    </rPh>
    <rPh sb="4" eb="5">
      <t>ム</t>
    </rPh>
    <rPh sb="6" eb="10">
      <t>シサンウンヨウ</t>
    </rPh>
    <rPh sb="15" eb="17">
      <t>セッケイ</t>
    </rPh>
    <phoneticPr fontId="2"/>
  </si>
  <si>
    <t>10名</t>
    <rPh sb="2" eb="3">
      <t>メイ</t>
    </rPh>
    <phoneticPr fontId="2"/>
  </si>
  <si>
    <t xml:space="preserve">
  ◆設計（基本設計／詳細設計）
   ・商品マスタ、契約情報、資産配分管理、リスク評価などの機能に関する基本設計書を作成
   ・画面遷移図、ER図、項目定義、データフロー設計を実施
   ・セキュリティ要件（ログイン制御・ロール管理）に関する仕様も含めて設計
   ・外部システムとのIF連携設計（顧客基幹DB・帳票出力システムとの連携仕様）を担当
  ◆製造（開発）
   ・※当案件では設計工程が主担当であり、開発フェーズは未着手または別チームが対応
  ◆テスト（設計支援）
   ・開発フェーズ以降のテスト項目作成を見据えた仕様補足資料の作成支援
   ・画面ごとの入力制約・遷移条件・エラーハンドリング要件をテスト観点として整理
</t>
    <phoneticPr fontId="2"/>
  </si>
  <si>
    <t xml:space="preserve">
【言語】
  SQL
【OS】
  Windows
【DB】
【環境/ツール】
　MySQL
  ESCORT
  SQLAssistant
  </t>
    <phoneticPr fontId="2"/>
  </si>
  <si>
    <t xml:space="preserve"> ガス契約管理システムの調査と改修</t>
    <rPh sb="3" eb="5">
      <t>ケイヤク</t>
    </rPh>
    <rPh sb="5" eb="7">
      <t>カンリ</t>
    </rPh>
    <rPh sb="12" eb="14">
      <t>チョウサ</t>
    </rPh>
    <rPh sb="15" eb="17">
      <t>カイシュウ</t>
    </rPh>
    <phoneticPr fontId="2"/>
  </si>
  <si>
    <t>7名</t>
    <rPh sb="1" eb="2">
      <t>メイ</t>
    </rPh>
    <phoneticPr fontId="2"/>
  </si>
  <si>
    <t xml:space="preserve">
  ◆設計（基本設計／詳細設計）
   ・契約情報の変更時における履歴保持や整合性維持ロジックの設計
   ・請求計算に関する条件分岐・単価設定などの仕様調整に伴うロジック再設計
   ・画面項目追加、エラーメッセージ改善に伴うUI設計の見直しを実施
  ◆製造（開発）
   ・既存PHPコードの影響範囲を確認しながら、契約処理・料金計算処理の修正を実施
   ・契約更新・解約時のステータス遷移、履歴記録処理の追加
   ・入力値チェック・画面上のエラーメッセージ表示処理を改善
  ◆テスト（単体／結合）
   ・画面・ロジックごとの単体テストを手動で実施し、契約・請求データの整合性を確認
   ・契約～請求～外部連携までの一連の処理に対して結合テストを実施
   ・複雑な契約変更パターンやエラーケースを中心に重点検証を行った
  ◆運用・保守
   ・運用部門からの問い合わせ対応（処理内容の説明、エラー原因の調査など）
   ・データ不整合が発生した場合のログ調査および修正対応
   ・今後の追加要望に備えたドキュメント整備と設計内容の引継ぎ資料作成支援
</t>
    <phoneticPr fontId="2"/>
  </si>
  <si>
    <t xml:space="preserve">
【言語】
　PHP5
  SQL
【OS】
  Windows
【DB】
  OracleDB
【環境/ツール】
  Docker
  </t>
    <phoneticPr fontId="2"/>
  </si>
  <si>
    <t xml:space="preserve"> 景品開発管理システムの改修</t>
    <rPh sb="3" eb="5">
      <t>カイハツ</t>
    </rPh>
    <rPh sb="5" eb="7">
      <t>カンリ</t>
    </rPh>
    <rPh sb="12" eb="14">
      <t>カイシュウ</t>
    </rPh>
    <phoneticPr fontId="2"/>
  </si>
  <si>
    <t>8名</t>
    <rPh sb="1" eb="2">
      <t>メイ</t>
    </rPh>
    <phoneticPr fontId="2"/>
  </si>
  <si>
    <t xml:space="preserve">
  ◆製造（開発）
   ・PHPを用いた既存システムの改修作業を実施（入力項目追加、検索条件追加、画面UI調整）
   ・景品情報の変更履歴管理機能、Excel出力機能の新規実装
   ・マスタ管理の利便性向上を目的としたバリデーション、インポート処理の追加対応
  ◆テスト（単体／結合）
   ・機能単位での単体テストを実施（特に検索条件の複雑化による動作確認）
   ・複数画面・帳票出力の結合テストを実施し、データ整合性と出力フォーマットの精度を確認
   ・不具合報告に対する検証・修正対応も随時実施
</t>
    <phoneticPr fontId="2"/>
  </si>
  <si>
    <r>
      <t xml:space="preserve">
【言語】
　PHP7
【OS】
  Windows
  Linux
【DB】
</t>
    </r>
    <r>
      <rPr>
        <b/>
        <sz val="8"/>
        <color theme="1"/>
        <rFont val="ＭＳ ゴシック"/>
        <family val="3"/>
        <charset val="128"/>
      </rPr>
      <t xml:space="preserve">  </t>
    </r>
    <r>
      <rPr>
        <sz val="8"/>
        <color theme="1"/>
        <rFont val="ＭＳ ゴシック"/>
        <family val="3"/>
        <charset val="128"/>
      </rPr>
      <t xml:space="preserve">MySQL
【環境/ツール】
  SVN
  </t>
    </r>
    <phoneticPr fontId="2"/>
  </si>
  <si>
    <t xml:space="preserve"> 電気小売り、取次システムの開発と運用</t>
    <phoneticPr fontId="2"/>
  </si>
  <si>
    <t>9名</t>
    <rPh sb="1" eb="2">
      <t>メイ</t>
    </rPh>
    <phoneticPr fontId="2"/>
  </si>
  <si>
    <r>
      <t xml:space="preserve">
  ◆設計（基本設計／詳細設計）
   ・契約情報、顧客情報、料金情報を管理するDB設計（正規化・リレーション設計）
   ・電力量データの取込処理、請求金額の自動計算、契約ステータス管理の業務ロジック設計
</t>
    </r>
    <r>
      <rPr>
        <sz val="8"/>
        <rFont val="ＭＳ ゴシック"/>
        <family val="3"/>
        <charset val="128"/>
      </rPr>
      <t xml:space="preserve">   ・外部電力会社フォーマットとのインタフェース設計（ファイル項目、変換仕様）
</t>
    </r>
    <r>
      <rPr>
        <sz val="8"/>
        <color theme="1"/>
        <rFont val="ＭＳ ゴシック"/>
        <family val="3"/>
        <charset val="128"/>
      </rPr>
      <t xml:space="preserve">
  ◆製造（開発）
   ・PHPによるWebアプリケーションのサーバーサイド実装
   ・契約管理、顧客情報管理、料金算出、請求データ生成機能の実装
   ・外部連携ファイルの生成／取込処理、エラーチェック、変換ロジックを開発
   ・管理者向けの操作画面や検索・集計機能も実装
  ◆テスト（単体／結合）
   ・PHPUnitを用いたロジック単位のユニットテストを実施（料金算出・契約状態遷移など）
   ・契約～請求～出力ファイル生成までの一連処理の結合テストを実施
</t>
    </r>
    <phoneticPr fontId="2"/>
  </si>
  <si>
    <t xml:space="preserve">
【言語】
　PHP7
【OS】
  Windows
  Linux
【DB】
  MySQL
【環境/ツール】
  Gitbash
  PHPUnit</t>
    <phoneticPr fontId="2"/>
  </si>
  <si>
    <t xml:space="preserve"> 代理購入システムの機能開発</t>
    <phoneticPr fontId="2"/>
  </si>
  <si>
    <t xml:space="preserve">
  ◆製造（開発）
   ・PHPを用いたWebシステムのバックエンド実装
   ・商品検索／見積リクエスト／注文処理／配送情報の登録機能を実装
   ・送料や手数料などの計算ロジック、注文確定時の通知機能も対応
</t>
    <phoneticPr fontId="2"/>
  </si>
  <si>
    <t xml:space="preserve">
【言語】
　PHP7
【FW】
  Symphony
【OS】
  Mac
  Linux
【DB】
【環境/ツール】
　MySQL
  Github
</t>
    <phoneticPr fontId="2"/>
  </si>
  <si>
    <t xml:space="preserve"> 販促システムのバックエンド開発業務</t>
    <phoneticPr fontId="2"/>
  </si>
  <si>
    <t xml:space="preserve">
  ◆製造（開発）
   ・PHP（フレームワーク使用）によるバックエンド機能の実装
   ・ポイント自動加算／減算処理、キャンペーン条件判定ロジックのコーディング
   ・抽選結果の記録および結果通知処理の実装
   ・管理者向けのキャンペーン登録機能（CSVインポート）も開発対応
</t>
    <phoneticPr fontId="2"/>
  </si>
  <si>
    <t xml:space="preserve">
【言語】
　PHP7
  ExcelVBA
【FW】
  Laravel8系
【OS】
  Windows
  Linux
【環境/ツール】
　AWS
</t>
    <phoneticPr fontId="2"/>
  </si>
  <si>
    <t xml:space="preserve"> 基幹パッケージ（PKG）の改修・開発</t>
    <phoneticPr fontId="2"/>
  </si>
  <si>
    <t xml:space="preserve">
  ◆製造（開発）
   ・Javaベースの既存パッケージに対し、機能追加・変更を実装
   ・マスタ画面・帳票出力処理・一部バッチ処理の改修を実施
   ・既存コードの可読性に配慮しながら、追記・修正を行う形式で開発対応
</t>
    <phoneticPr fontId="2"/>
  </si>
  <si>
    <t xml:space="preserve">
【言語】
　独自Shell
　PHP7
　ExcelVBA
【OS】
  Windows
　Linux
【環境/ツール】
</t>
    <rPh sb="7" eb="9">
      <t>ドクジ</t>
    </rPh>
    <phoneticPr fontId="2"/>
  </si>
  <si>
    <t xml:space="preserve"> オンラインストレージサービスの製造</t>
    <phoneticPr fontId="2"/>
  </si>
  <si>
    <t>4名</t>
    <rPh sb="1" eb="2">
      <t>メイ</t>
    </rPh>
    <phoneticPr fontId="2"/>
  </si>
  <si>
    <t xml:space="preserve">
  ◆製造（開発）
   ・PHPによるWebインターフェースとファイル処理ロジックを開発
   ・ファイルアップロード／ダウンロード機能、ユーザー認証、ログイン履歴管理を実装
   ・共有URLの生成、パスワード付き共有、アクセス期限機能なども開発対応
</t>
    <phoneticPr fontId="2"/>
  </si>
  <si>
    <t xml:space="preserve">
【言語】
　PHP7
【FW】
  Laravel7系
　CakePHP
【OS】
  Windows
　Linux
【環境/ツール】
　AWS</t>
    <phoneticPr fontId="2"/>
  </si>
  <si>
    <t xml:space="preserve"> アプリ設計書のドキュメント整備</t>
    <phoneticPr fontId="2"/>
  </si>
  <si>
    <t>3名</t>
    <rPh sb="1" eb="2">
      <t>メイ</t>
    </rPh>
    <phoneticPr fontId="2"/>
  </si>
  <si>
    <t xml:space="preserve">
  ◆要件定義
   ・既存のモバイルアプリ開発に関する関係資料を精査し、情報の過不足を分析
   ・設計書に求められる粒度・構成・対象範囲（画面・機能・APIなど）を関係者と調整
   ・顧客との確認を通じ、資料化すべき内容とドキュメントの目的（開発用／引継ぎ用）を明確化
  ◆設計（基本設計／詳細設計）
   ・既存設計書の見直しおよび構成再編（目的別に章立て整理）
   ・各機能・画面ごとに、処理概要、画面遷移、入力チェック、エラーハンドリングなどを文書化
   ・API通信仕様（エンドポイント、パラメータ、戻り値）の整備と統一フォーマット化
  ◆製造（ドキュメント作成）
   ・Excel／Word／PowerPoint等を用いて、設計書テンプレートに沿った文書を整備
   ・処理フロー図、画面遷移図、項目定義表、ER図等の資料を新規作成または再整理
   ・過去の設計資料を再構成し、ドキュメント全体の整合性を保つよう編集・校正を実施
  ◆テスト（内容検証）
   ・設計者・開発者とのレビューを通じて、記載ミスや仕様抜けを修正
   ・各種レビューコメントの反映と最終版ドキュメントの納品準備
  ◆運用・保守
   ・設計ドキュメント納品後のレビュー会議対応および再修正対応
   ・ドキュメントのフォーマット統一やマニュアル化に向けた改善提案を実施
   ・後続開発者向けに補足資料やQ&amp;Aの取りまとめを実施</t>
    <phoneticPr fontId="2"/>
  </si>
  <si>
    <t xml:space="preserve">
【言語】
　-
【OS】
  Windows
【環境/ツール】
　Excel
　Word
　PowerPoint
　Visio
　PDF
</t>
    <phoneticPr fontId="2"/>
  </si>
  <si>
    <t xml:space="preserve"> 複数案件 開発業務</t>
    <rPh sb="1" eb="5">
      <t>フクスウアンケン</t>
    </rPh>
    <rPh sb="6" eb="10">
      <t>カイハツギョウム</t>
    </rPh>
    <phoneticPr fontId="2"/>
  </si>
  <si>
    <t xml:space="preserve">
【案件①】
  治験管理システムの開発
  ◆要件定義
   ・症例登録、経過観察、報告管理に関する要件の整理
   ・入力制約やバリデーション仕様を関係者と確認し反映
  ◆設計
   ・Laravelをベースとした画面構成、ルーティング設計、DBスキーマ設計
   ・治験フローに沿った画面遷移・入力チェック設計
  ◆製造
   ・PHP7＋Laravel5系を使用して、患者管理・経過入力機能を実装
   ・Docker環境を用いた開発／Gitでのソース管理を実施
  ◆テスト
   ・単体テスト、結合テスト、バリデーション・計算ロジックの整合性を確認
  ◆運用・保守
   ・UI調整や表示項目の追加など軽微な改修を継続対応
【案件②】
  給食発注システムの開発
  ◆要件定義
   ・食材の発注、献立との連動、残数管理フローの業務要件を整理
  ◆設計
   ・発注画面、在庫管理、帳票出力機能の設計
   ・PostgreSQLをベースにDB構成設計を実施
  ◆製造
   ・CakePHPで発注管理、仕入登録、出力帳票機能を実装
  ◆テスト
   ・各画面機能の単体テスト／月次・日次発注の結合テスト
　◆運用・保守
   ・発注ルールの変更に伴う検索条件やマスタ調整に対応
【案件③】
  電子書籍配信サービスの改修・運用
  ◆要件定義
   ・既存システムの表示仕様、アクセスログ収集要件の確認
  ◆設計
   ・閲覧ログ管理機能、配信条件フィルタなどを設計
  ◆製造
   ・PHP7にてレイアウト調整、ビューログ処理、DB更新機能を改修
  ◆テスト
   ・配信対象・ログ記録条件の組合せによる結合テストを実施
  ◆運用・保守
   ・日次配信処理の監視／軽微な仕様変更の継続対応
【案件④】
  車両輸出業者向けサイトの改修
  ◆要件定義
   ・多言語対応、価格ロジック、車両検索の改善要件をヒアリング
  ◆設計
   ・検索条件ロジック、多通貨対応、UI切替処理の設計を担当
  ◆製造
   ・Laravelにて表示言語切替、価格補正ロジックの実装
   ・PostgreSQL連携に配慮した改修対応
  ◆テスト
   ・多言語表示／検索処理の境界値テストを実施
  ◆運用・保守
   ・翻訳辞書の更新／車両データ連携不具合の修正対応
【案件⑤】
  PA（業務支援システム）の開発および改修
  ◆要件定義
   ・帳票出力や承認申請など業務支援機能の仕様確認
  ◆設計
   ・出力レイアウト／DB抽出ロジックの設計と既存コード整理
  ◆製造
   ・.NETで出力帳票／申請一覧画面を実装、一部Oracle連携処理も追加
  ◆テスト
   ・帳票出力の内容整合性、権限別処理分岐の動作確認
  ◆運用・保守
   ・軽微な仕様変更、フィールド追加等に対応
【案件⑥】
  車の整備技術売買アプリの開発
  ◆要件定義
   ・ユーザー間取引（売買）に必要な決済・評価・動画共有機能の要件整理
  ◆設計
   ・SPA構成を前提とした画面設計、API仕様設計、DB設計を担当
  ◆製造
   ・Vue.js＋PHP7にてチャット、決済、動画アップロード機能を実装
   ・Dockerでの開発環境構築／Git管理下でチーム開発を実施
  ◆テスト
   ・操作フローに沿った結合テスト、ファイル処理とDB連携の動作検証
  ◆運用・保守
   ・決済手数料変更や機能制限対応などの改修に対応
【案件⑦】
  保険系システムのバージョンアップ対応
  ◆要件定義
   ・現行PHP5系モジュールとVBA処理の移行対象・影響調査
  ◆設計
   ・PHP7向け構文変更／機能置き換えの対応設計
   ・UiPathとの業務連携フローの整備
  ◆製造
   ・PHPのバージョンアップ対応、VBA帳票のメンテナンス・共通化処理の実装
  ◆テスト
   ・業務帳票の出力確認、既存業務フローとの整合性検証
  ◆運用・保守
   ・バージョンアップ移行後の問い合わせ対応と軽微な修正支援</t>
    <phoneticPr fontId="2"/>
  </si>
  <si>
    <t xml:space="preserve">
【言語】
　PHP7
　ExcelVBA
  RPA(UiPath)
【FW】
  Laravel5系
  CakePHP
　Vue.js
  .NETFramework
【OS】
  Windows
  Linux
  MacOS
【DB】
  OracleDB
  MySQL
  PostgreSQL
【環境/ツール】
　Git
　AWS
　Docker</t>
    <rPh sb="0" eb="185">
      <t>ケイ</t>
    </rPh>
    <phoneticPr fontId="2"/>
  </si>
  <si>
    <t xml:space="preserve"> 民泊システムのバックエンド開発</t>
    <phoneticPr fontId="2"/>
  </si>
  <si>
    <t xml:space="preserve">
  ◆要件定義
   ・外部連携（地図API、決済システム）に関する仕様確認および要件洗い出し
   ・既存機能の改善に対する優先順位や非機能要件（パフォーマンス・可用性）も整理
  ◆設計（基本設計／詳細設計）
   ・宿泊施設情報（住所・設備・料金など）のDB構造設計・項目整理
   ・通知（メール／システム）や承認フロー、キャンセルポリシー処理の業務ロジック設計
  ◆製造（開発）
   ・PHP（Laravel）によるバックエンドAPIの実装
   ・決済・地図表示などの外部API連携部分の開発も担当
  ◆テスト（単体／結合）
   ・単体テストコードの作成と実行（PHPUnit）
   ・API連携や複数画面にまたがる処理について結合テストを実施
   ・異常系パターン（重複予約、無効日付、キャンセル期限切れ等）の検証を重点対応
  ◆運用・保守
   ・本番環境リリース後のログ監視とエラー対応を実施
   ・システム負荷に関するチューニング提案と軽微なコード最適化を担当</t>
    <phoneticPr fontId="2"/>
  </si>
  <si>
    <t xml:space="preserve">
【言語】
　PHP7
【FW】
  Laravel5系
【OS】
  Windows
  Linux
【DB】
  Postgres
  mariaDB
【環境/ツール】
  AWS
</t>
    <phoneticPr fontId="2"/>
  </si>
  <si>
    <t xml:space="preserve"> 某物流会社システム開発</t>
    <rPh sb="10" eb="12">
      <t>カイハツ</t>
    </rPh>
    <phoneticPr fontId="2"/>
  </si>
  <si>
    <t xml:space="preserve">
  ◆要件定義
   ・物流会社向け既存システムの運用ヒアリングと改善要望の整理
   ・広告会社Webサイトの改修要件（表示変更、画像差し替え、動的リンク制御など）を確認
   ・各案件の運用担当者と仕様調整を行い、優先順位を設定
  ◆設計（基本設計／詳細設計）
   ・物流会社向け新規開発プロジェクトでの設計書整理（業務フロー、画面仕様書など）
   ・承認画面や検索画面のレイアウト・DB項目設計の補助
   ・CakePHP/CodeIgniterでの実装を見据えたモジュール設計支援
  ◆製造（開発）
   ・PHP7＋CodeIgniter／CakePHPを用いたWebアプリの画面・機能改修（在庫管理、申請承認など）
   ・テンプレートやコントローラーの修正、検索条件の追加や出力レイアウトの変更などを担当
   ・PostgreSQLとの連携処理、画面バリデーション、簡易なAjax処理の組み込みも実施
  ◆テスト（単体／結合）
   ・改修箇所を対象に手動での単体テスト・画面遷移テストを実施
   ・承認フローやデータ抽出機能など複合処理に対する結合テストを実施
   ・画面表示・データ整合性の確認やエッジケース検証も対応
  ◆運用・保守
   ・本番運用中の軽微な改修（マスタ追加、条件変更、バリデーション調整など）を継続実施
   ・問い合わせに基づくログ調査、ソース確認、機能改善案の提示
   ・ドキュメント更新、未整備箇所の仕様明文化などの保守補助業務
</t>
    <phoneticPr fontId="2"/>
  </si>
  <si>
    <t xml:space="preserve">
【言語】
　PHP7
【FW】
  CakePHP
【OS】
  Windows
  Linux
【DB】
  PostgreSQL
【環境/ツール】 
  Codeigniter</t>
    <phoneticPr fontId="2"/>
  </si>
  <si>
    <t xml:space="preserve"> 物流システム開発</t>
    <phoneticPr fontId="2"/>
  </si>
  <si>
    <t>◇</t>
  </si>
  <si>
    <t xml:space="preserve">
  ◆要件定義
   ・物流現場の業務内容をヒアリングし、入出庫管理や在庫照会、作業進捗管理に必要な要件を整理
   ・社内向けシステムでは、計画申請の登録〜承認フローまでの業務フローを明確化
   ・利用部門からのヒアリング結果をもとに、申請項目・承認者設定・閲覧制御の仕様を定義
  ◆設計（基本設計／詳細設計）
   ・物流システムにおける入出庫情報の登録・検索・集計機能の基本／詳細設計を実施
   ・在庫照会画面および進捗状況の一覧表示画面などの画面レイアウト・項目設計
   ・社内システムに関しては、ワークフロー（承認経路）設計と権限管理、
     ログ記録機能の詳細設計を実施
  ◆製造（開発）
   ・PHPによるWebシステム開発（業務画面・承認フロー画面）を実装
   ・物流システムでは、入出庫処理や作業ステータス更新の機能を開発
   ・社内システムでは、計画申請画面、承認ステータス管理、通知処理等を開発
  ◆テスト（単体／結合）
   ・物流系機能の単体テストを実施し、数量計算や在庫表示の整合性を確認
   ・社内システムでは、申請～承認完了までの一連フローの結合テストを実施
   ・エラー処理や承認ロジックに関する不具合の修正を対応
  ◆運用・保守
   ・帳票レイアウトの調整や追加集計項目の反映など軽微な改修を対応
   ・申請承認ルート変更への対応やログ機能強化などの追加開発も一部実施</t>
    <phoneticPr fontId="2"/>
  </si>
  <si>
    <t xml:space="preserve">
【言語】
  PHP
  JavaScript
【FW】
  CakePHP
【OS】
  Windows
【DB】
  MySQL
  PostgreSQL
【環境/ツール】
</t>
    <phoneticPr fontId="2"/>
  </si>
  <si>
    <t xml:space="preserve"> メタ変換システムの開発</t>
    <phoneticPr fontId="2"/>
  </si>
  <si>
    <t xml:space="preserve">
  ◆設計（基本設計／詳細設計）
   ・入力形式ごとの取り込み処理設計、変換ルールの定義構造を設計
   ・出力データのフォーマット（カラム順・形式）のテンプレート仕様を設計
   ・例外処理（欠損値・異常データなど）やログ出力設計も含めて詳細化
  ◆製造（開発）
   ・PHPを用いたメタ変換処理ロジックの開発
   ・入力ファイルの読み込み、変換処理、出力ファイル生成までを一連で実装
   ・Linux環境におけるバッチ処理（シェル連携）の構築も一部対応
  ◆テスト（単体／結合）
   ・各種パターンに対応した入力データを用いて単体テストを実施
   ・想定外データへの耐性確認や例外処理動作確認を実施
   ・システム全体としての結合テストを行い、変換精度・安定性を検証
</t>
    <phoneticPr fontId="2"/>
  </si>
  <si>
    <t xml:space="preserve">
【言語】
　PHP
【OS】
  Windows
  Linux
【環境/ツール】
</t>
    <phoneticPr fontId="2"/>
  </si>
  <si>
    <t xml:space="preserve"> 景品サイトの開発/リフォーム用アプリの開発</t>
    <phoneticPr fontId="2"/>
  </si>
  <si>
    <r>
      <t xml:space="preserve">
  ◆要件定義
   ・景品交換サイトにおける商品カテゴリ・ポイント管理・ユーザー導線などの要件を整理
   ・リフォーム業務支援アプリに関して、現場スタッフからの業務フローをヒアリング
   ・管理画面での商品登録／編集、ポイント設定などの仕様を検討・定義
  ◆設計（基本設計／詳細設計）
   ・景品選択～注文～履歴確認までの一連フローを基本設計
   ・商品情報・ポイント残高・交換履歴などを扱うDBスキーマを設計
</t>
    </r>
    <r>
      <rPr>
        <sz val="8"/>
        <rFont val="ＭＳ ゴシック"/>
        <family val="3"/>
        <charset val="128"/>
      </rPr>
      <t xml:space="preserve">   ・リフォームアプリの顧客情報・施工記録用画面構成を設計</t>
    </r>
    <r>
      <rPr>
        <sz val="8"/>
        <color theme="1"/>
        <rFont val="ＭＳ ゴシック"/>
        <family val="3"/>
        <charset val="128"/>
      </rPr>
      <t xml:space="preserve">
  ◆製造（開発）
   ・PHPによる景品サイトのWebアプリケーションを実装
   ・管理画面の商品登録、ポイント付与／減算ロジックを開発
   ・リフォームアプリにおいて、施工記録入力・写真アップロード機能を実装
  ◆テスト（単体／結合）
   ・商品交換処理、履歴表示、ポイント管理の各機能について単体テストを実施
   ・ユーザー操作を中心とした結合テストを実施し、表示・処理の整合性を確認
   ・アプリ側のテストでは、入力・登録・確認の一連の動作確認を実施
</t>
    </r>
    <phoneticPr fontId="2"/>
  </si>
  <si>
    <t xml:space="preserve">
【言語】
　PHP
　HTML
【OS】
  Windows
【DB】
  MySQL
【環境/ツール】
</t>
    <phoneticPr fontId="2"/>
  </si>
  <si>
    <t xml:space="preserve"> 医療関係広告サイトの開発、運用</t>
    <phoneticPr fontId="2"/>
  </si>
  <si>
    <t xml:space="preserve">
  ◆要件定義
   ・医療機関や広告主からの要望をヒアリングし、掲載情報や検索機能の要件を整理
   ・広告掲載の条件、ターゲット属性、表示ロジックなどを要件として定義
   ・広告枠の動的生成や、管理画面側での掲載調整機能についての要望を取りまとめ
  ◆設計（基本設計／詳細設計）
   ・広告掲載枠のレイアウト設計、および掲載情報管理機能の基本設計
   ・ユーザー（患者）向け検索機能、並びに管理者向け登録機能の画面・項目設計
   ・DBスキーマの見直し（広告カテゴリや地域属性などの拡張設計）
  ◆製造（開発）
   ・PHPとHTMLを用いて、Web画面の実装および広告配信ロジックを開発
   ・検索条件による動的な広告表示制御、並びに広告主向け管理機能を実装
   ・キャンペーン管理や掲載期間制御の仕組みも実装
  ◆テスト（単体／結合）
   ・管理画面・検索画面における単体テストを実施
   ・広告表示ロジックとユーザー操作を組み合わせた結合テストを実施
   ・バグ修正、表示崩れや条件マッチ精度の調整などを対応</t>
    <phoneticPr fontId="2"/>
  </si>
  <si>
    <t xml:space="preserve">
【言語】
　 PHP
　 HTML
【OS】
  Windows
【環境/ツール】
　MySQL</t>
    <phoneticPr fontId="2"/>
  </si>
  <si>
    <t xml:space="preserve"> 旅行会社向け 顧客管理システム開発</t>
    <rPh sb="1" eb="3">
      <t>リョコウ</t>
    </rPh>
    <rPh sb="3" eb="5">
      <t>ガイシャ</t>
    </rPh>
    <rPh sb="5" eb="6">
      <t>ム</t>
    </rPh>
    <rPh sb="8" eb="10">
      <t>コキャク</t>
    </rPh>
    <rPh sb="10" eb="12">
      <t>カンリ</t>
    </rPh>
    <rPh sb="16" eb="18">
      <t>カイハツ</t>
    </rPh>
    <phoneticPr fontId="2"/>
  </si>
  <si>
    <t xml:space="preserve">
  ◆要件定義
   ・旅行会社の業務フローをヒアリングし、顧客情報管理を整理
   ・新規顧客登録／既存情報の検索・編集機能の仕様を検討
   ・部門ごとの要望を取りまとめた基本要件定義書を作成
  ◆設計（基本設計／詳細設計）
   ・顧客情報管理画面（検索・登録・編集・詳細）の基本設計
   ・顧客属性（氏名・連絡先・渡航履歴等）に基づくDBスキーマを設計
   ・バリデーション処理・入力制御・権限管理の詳細設計を実施
  ◆製造（開発）
   ・PHPを用いたWebシステムの実装（HTML＋テンプレート併用）
   ・顧客データ管理機能の画面ロジック、およびDB登録／取得処理を開発
   ・MySQLとの連携によるCRUD処理をA5ツールで実装
  ◆テスト（単体／結合）
   ・単体テスト項目書を作成し、仕様通りの動作確認を実施
   ・顧客登録～検索～更新の一連動作に対して結合テストを実施
   ・テスト結果に基づく軽微な修正対応を実施</t>
    <phoneticPr fontId="2"/>
  </si>
  <si>
    <t xml:space="preserve">
【言語】
　PHP
【OS】
  Windows
【DB】
  OracleDB
【環境/ツール】
　A5:SQL Mk-2
</t>
    <phoneticPr fontId="2"/>
  </si>
  <si>
    <t xml:space="preserve"> 某不動産会社向けクラウドシステムの開発・運用</t>
    <phoneticPr fontId="2"/>
  </si>
  <si>
    <t xml:space="preserve">
  ◆要件定義
   ・不動産会社との折衝・ヒアリングを通じて、システムに対する要望や仕様を整理
   ・顧客ニーズに基づいた機能要件の洗い出し
   ・改修、機能追加要望を元に、入力項目やデータ出力内容の調整
  ◆設計（基本設計／詳細設計）
   ・不動産ポータル向けデータ連携機能の設計（CSV変換ロジックなど）
   ・顧客要望による入力項目の追加に伴う、DBテーブルおよびカラム設計・変更
   ・クラウドシステム全体の構成・フロー設計
  ◆製造（開発）
   ・PHP＋Zend Frameworkを用いたWebシステムの実装
   ・不動産ポータル（SUUMO、Homes、athome 等）へのデータ出力機能の開発
   ・各種CSVファイル生成機能のコーディング
   ・システム変更や仕様追加に応じた既存コードの改修対応
  ◆テスト（単体／結合）
   ・単体テストケースの作成および実施
   ・改修後の結合テストを実施し、ポータルサイトとのデータ連携の整合性を検証
   ・テスト結果の検証・不具合修正対応
  ◆運用・保守
   ・システム稼働後の運用監視、障害対応
   ・顧客からの問合せ対応（仕様確認、データ調査など）
   ・機能改善や軽微な改修作業の継続実施</t>
    <phoneticPr fontId="2"/>
  </si>
  <si>
    <t xml:space="preserve">
【言語】
　PHP
【FW】
  ZendFrameWork
【OS】
　Windows
　Linux
【DB】
  MySQL
【環境/ツール】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</si>
</sst>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yyyy&quot;年&quot;m&quot;月&quot;d&quot;日時点&quot;"/>
    <numFmt numFmtId="177" formatCode="yyyy/mm"/>
  </numFmts>
  <fonts count="17">
    <font>
      <sz val="11"/>
      <color theme="1"/>
      <name val="游ゴシック"/>
      <family val="2"/>
      <charset val="128"/>
      <scheme val="minor"/>
    </font>
    <font>
      <sz val="10"/>
      <color theme="1"/>
      <name val="ＭＳ ゴシック"/>
      <family val="3"/>
      <charset val="128"/>
    </font>
    <font>
      <sz val="6"/>
      <name val="游ゴシック"/>
      <family val="2"/>
      <charset val="128"/>
      <scheme val="minor"/>
    </font>
    <font>
      <b/>
      <sz val="10"/>
      <color theme="1"/>
      <name val="ＭＳ ゴシック"/>
      <family val="3"/>
      <charset val="128"/>
    </font>
    <font>
      <sz val="8"/>
      <color theme="1"/>
      <name val="ＭＳ ゴシック"/>
      <family val="3"/>
      <charset val="128"/>
    </font>
    <font>
      <b/>
      <sz val="12"/>
      <color theme="1"/>
      <name val="ＭＳ ゴシック"/>
      <family val="3"/>
      <charset val="128"/>
    </font>
    <font>
      <b/>
      <sz val="8"/>
      <color theme="0"/>
      <name val="ＭＳ ゴシック"/>
      <family val="3"/>
      <charset val="128"/>
    </font>
    <font>
      <b/>
      <sz val="10"/>
      <color theme="0"/>
      <name val="ＭＳ ゴシック"/>
      <family val="3"/>
      <charset val="128"/>
    </font>
    <font>
      <sz val="11"/>
      <color theme="1"/>
      <name val="游ゴシック"/>
      <family val="2"/>
      <charset val="128"/>
      <scheme val="minor"/>
    </font>
    <font>
      <b/>
      <sz val="18"/>
      <name val="Impact"/>
      <family val="2"/>
    </font>
    <font>
      <b/>
      <sz val="6"/>
      <color theme="0"/>
      <name val="ＭＳ ゴシック"/>
      <family val="3"/>
      <charset val="128"/>
    </font>
    <font>
      <b/>
      <sz val="6"/>
      <color theme="1"/>
      <name val="ＭＳ ゴシック"/>
      <family val="3"/>
      <charset val="128"/>
    </font>
    <font>
      <b/>
      <sz val="8"/>
      <color theme="1"/>
      <name val="ＭＳ ゴシック"/>
      <family val="3"/>
      <charset val="128"/>
    </font>
    <font>
      <b/>
      <sz val="6"/>
      <name val="ＭＳ ゴシック"/>
      <family val="3"/>
      <charset val="128"/>
    </font>
    <font>
      <sz val="6"/>
      <color theme="1"/>
      <name val="ＭＳ ゴシック"/>
      <family val="3"/>
      <charset val="128"/>
    </font>
    <font>
      <b/>
      <sz val="9"/>
      <color theme="0"/>
      <name val="ＭＳ ゴシック"/>
      <family val="3"/>
      <charset val="128"/>
    </font>
    <font>
      <sz val="8"/>
      <name val="ＭＳ ゴシック"/>
      <family val="3"/>
      <charset val="128"/>
    </font>
  </fonts>
  <fills count="6">
    <fill>
      <patternFill patternType="none"/>
    </fill>
    <fill>
      <patternFill patternType="gray125"/>
    </fill>
    <fill>
      <patternFill patternType="solid">
        <fgColor rgb="FFA50021"/>
        <bgColor indexed="64"/>
      </patternFill>
    </fill>
    <fill>
      <patternFill patternType="solid">
        <fgColor rgb="FFFF9999"/>
        <bgColor indexed="64"/>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theme="0"/>
      </right>
      <top/>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right style="thin">
        <color theme="0" tint="-0.249977111117893"/>
      </right>
      <top/>
      <bottom/>
      <diagonal/>
    </border>
    <border>
      <left/>
      <right style="thin">
        <color theme="0" tint="-0.249977111117893"/>
      </right>
      <top/>
      <bottom style="thin">
        <color indexed="64"/>
      </bottom>
      <diagonal/>
    </border>
    <border>
      <left style="thin">
        <color theme="0" tint="-0.249977111117893"/>
      </left>
      <right/>
      <top/>
      <bottom/>
      <diagonal/>
    </border>
    <border>
      <left style="thin">
        <color theme="0" tint="-0.249977111117893"/>
      </left>
      <right/>
      <top/>
      <bottom style="thin">
        <color indexed="64"/>
      </bottom>
      <diagonal/>
    </border>
    <border>
      <left/>
      <right/>
      <top style="thin">
        <color indexed="64"/>
      </top>
      <bottom style="dotted">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top style="thin">
        <color indexed="64"/>
      </top>
      <bottom style="hair">
        <color indexed="64"/>
      </bottom>
      <diagonal/>
    </border>
    <border>
      <left/>
      <right style="dotted">
        <color indexed="64"/>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thin">
        <color indexed="64"/>
      </bottom>
      <diagonal/>
    </border>
    <border>
      <left/>
      <right style="dotted">
        <color indexed="64"/>
      </right>
      <top style="hair">
        <color indexed="64"/>
      </top>
      <bottom style="thin">
        <color indexed="64"/>
      </bottom>
      <diagonal/>
    </border>
    <border>
      <left/>
      <right style="thin">
        <color indexed="64"/>
      </right>
      <top style="hair">
        <color indexed="64"/>
      </top>
      <bottom style="thin">
        <color indexed="64"/>
      </bottom>
      <diagonal/>
    </border>
    <border>
      <left/>
      <right style="thin">
        <color theme="0"/>
      </right>
      <top style="thin">
        <color indexed="64"/>
      </top>
      <bottom style="thin">
        <color indexed="64"/>
      </bottom>
      <diagonal/>
    </border>
    <border>
      <left/>
      <right style="thin">
        <color theme="0"/>
      </right>
      <top style="thin">
        <color indexed="64"/>
      </top>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thin">
        <color indexed="64"/>
      </left>
      <right style="dashed">
        <color indexed="64"/>
      </right>
      <top/>
      <bottom/>
      <diagonal/>
    </border>
    <border>
      <left style="dashed">
        <color indexed="64"/>
      </left>
      <right style="dashed">
        <color indexed="64"/>
      </right>
      <top/>
      <bottom/>
      <diagonal/>
    </border>
    <border>
      <left style="thin">
        <color indexed="64"/>
      </left>
      <right style="dashed">
        <color indexed="64"/>
      </right>
      <top/>
      <bottom style="thin">
        <color indexed="64"/>
      </bottom>
      <diagonal/>
    </border>
    <border>
      <left style="dashed">
        <color indexed="64"/>
      </left>
      <right style="dashed">
        <color indexed="64"/>
      </right>
      <top/>
      <bottom style="thin">
        <color indexed="64"/>
      </bottom>
      <diagonal/>
    </border>
    <border>
      <left style="thin">
        <color theme="0"/>
      </left>
      <right/>
      <top style="thin">
        <color indexed="64"/>
      </top>
      <bottom style="thin">
        <color indexed="64"/>
      </bottom>
      <diagonal/>
    </border>
    <border>
      <left/>
      <right style="thin">
        <color theme="0" tint="-0.249977111117893"/>
      </right>
      <top style="thin">
        <color indexed="64"/>
      </top>
      <bottom/>
      <diagonal/>
    </border>
    <border>
      <left style="thin">
        <color theme="0" tint="-0.249977111117893"/>
      </left>
      <right/>
      <top style="thin">
        <color indexed="64"/>
      </top>
      <bottom/>
      <diagonal/>
    </border>
    <border>
      <left style="thin">
        <color indexed="64"/>
      </left>
      <right/>
      <top style="dotted">
        <color indexed="64"/>
      </top>
      <bottom style="thin">
        <color indexed="64"/>
      </bottom>
      <diagonal/>
    </border>
    <border>
      <left style="thin">
        <color indexed="64"/>
      </left>
      <right/>
      <top style="thin">
        <color indexed="64"/>
      </top>
      <bottom style="dotted">
        <color indexed="64"/>
      </bottom>
      <diagonal/>
    </border>
  </borders>
  <cellStyleXfs count="3">
    <xf numFmtId="0" fontId="0" fillId="0" borderId="0">
      <alignment vertical="center"/>
    </xf>
    <xf numFmtId="9" fontId="8" fillId="0" borderId="0" applyFont="0" applyFill="0" applyBorder="0" applyAlignment="0" applyProtection="0">
      <alignment vertical="center"/>
    </xf>
    <xf numFmtId="6" fontId="8" fillId="0" borderId="0" applyFont="0" applyFill="0" applyBorder="0" applyAlignment="0" applyProtection="0">
      <alignment vertical="center"/>
    </xf>
  </cellStyleXfs>
  <cellXfs count="186">
    <xf numFmtId="0" fontId="0" fillId="0" borderId="0" xfId="0">
      <alignment vertical="center"/>
    </xf>
    <xf numFmtId="0" fontId="1" fillId="0" borderId="0" xfId="0" applyFont="1">
      <alignment vertical="center"/>
    </xf>
    <xf numFmtId="0" fontId="4" fillId="0" borderId="17" xfId="0" applyFont="1" applyBorder="1" applyAlignment="1">
      <alignment vertical="center" wrapText="1"/>
    </xf>
    <xf numFmtId="0" fontId="4" fillId="0" borderId="0" xfId="0" applyFont="1" applyAlignment="1">
      <alignment vertical="center" wrapText="1"/>
    </xf>
    <xf numFmtId="0" fontId="4" fillId="0" borderId="18" xfId="0" applyFont="1" applyBorder="1" applyAlignment="1">
      <alignment vertical="center" wrapText="1"/>
    </xf>
    <xf numFmtId="0" fontId="4" fillId="0" borderId="19" xfId="0" applyFont="1" applyBorder="1" applyAlignment="1">
      <alignment vertical="center" wrapText="1"/>
    </xf>
    <xf numFmtId="0" fontId="4" fillId="0" borderId="20" xfId="0" applyFont="1" applyBorder="1" applyAlignment="1">
      <alignment vertical="center" wrapText="1"/>
    </xf>
    <xf numFmtId="0" fontId="4" fillId="0" borderId="11" xfId="0" applyFont="1" applyBorder="1" applyAlignment="1">
      <alignment vertical="center" wrapText="1"/>
    </xf>
    <xf numFmtId="0" fontId="1" fillId="0" borderId="1" xfId="0" applyFont="1" applyBorder="1">
      <alignment vertical="center"/>
    </xf>
    <xf numFmtId="0" fontId="1" fillId="0" borderId="1" xfId="0" applyFont="1" applyBorder="1" applyAlignment="1">
      <alignment horizontal="right" vertical="center"/>
    </xf>
    <xf numFmtId="0" fontId="5" fillId="0" borderId="1" xfId="0" applyFont="1" applyBorder="1">
      <alignment vertical="center"/>
    </xf>
    <xf numFmtId="9" fontId="5" fillId="0" borderId="1" xfId="1" applyFont="1" applyBorder="1">
      <alignment vertical="center"/>
    </xf>
    <xf numFmtId="177" fontId="4" fillId="0" borderId="29" xfId="0" applyNumberFormat="1" applyFont="1" applyBorder="1" applyAlignment="1">
      <alignment horizontal="center" vertical="center"/>
    </xf>
    <xf numFmtId="177" fontId="4" fillId="5" borderId="29" xfId="0" applyNumberFormat="1" applyFont="1" applyFill="1" applyBorder="1" applyAlignment="1">
      <alignment horizontal="center" vertical="center"/>
    </xf>
    <xf numFmtId="0" fontId="11" fillId="3" borderId="12"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4" fillId="0" borderId="13" xfId="0" applyFont="1" applyBorder="1" applyAlignment="1">
      <alignment horizontal="left" vertical="center" wrapText="1"/>
    </xf>
    <xf numFmtId="0" fontId="4" fillId="0" borderId="10" xfId="0" applyFont="1" applyBorder="1" applyAlignment="1">
      <alignment horizontal="left" vertical="center" wrapText="1"/>
    </xf>
    <xf numFmtId="0" fontId="7" fillId="2" borderId="14"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16" xfId="0" applyFont="1" applyFill="1" applyBorder="1" applyAlignment="1">
      <alignment horizontal="center" vertical="center"/>
    </xf>
    <xf numFmtId="0" fontId="15" fillId="2" borderId="14" xfId="0" applyFont="1" applyFill="1" applyBorder="1" applyAlignment="1">
      <alignment horizontal="center" vertical="center"/>
    </xf>
    <xf numFmtId="0" fontId="15" fillId="2" borderId="15" xfId="0" applyFont="1" applyFill="1" applyBorder="1" applyAlignment="1">
      <alignment horizontal="center" vertical="center"/>
    </xf>
    <xf numFmtId="0" fontId="15" fillId="2" borderId="16" xfId="0" applyFont="1" applyFill="1" applyBorder="1" applyAlignment="1">
      <alignment horizontal="center" vertical="center"/>
    </xf>
    <xf numFmtId="0" fontId="16" fillId="0" borderId="14" xfId="0" applyFont="1" applyBorder="1" applyAlignment="1">
      <alignment horizontal="left" vertical="top"/>
    </xf>
    <xf numFmtId="0" fontId="16" fillId="0" borderId="15" xfId="0" applyFont="1" applyBorder="1" applyAlignment="1">
      <alignment horizontal="left" vertical="top"/>
    </xf>
    <xf numFmtId="0" fontId="16" fillId="0" borderId="16" xfId="0" applyFont="1" applyBorder="1" applyAlignment="1">
      <alignment horizontal="left" vertical="top"/>
    </xf>
    <xf numFmtId="0" fontId="16" fillId="0" borderId="17" xfId="0" applyFont="1" applyBorder="1" applyAlignment="1">
      <alignment horizontal="left" vertical="top"/>
    </xf>
    <xf numFmtId="0" fontId="16" fillId="0" borderId="0" xfId="0" applyFont="1" applyAlignment="1">
      <alignment horizontal="left" vertical="top"/>
    </xf>
    <xf numFmtId="0" fontId="16" fillId="0" borderId="18" xfId="0" applyFont="1" applyBorder="1" applyAlignment="1">
      <alignment horizontal="left" vertical="top"/>
    </xf>
    <xf numFmtId="0" fontId="16" fillId="0" borderId="19" xfId="0" applyFont="1" applyBorder="1" applyAlignment="1">
      <alignment horizontal="left" vertical="top"/>
    </xf>
    <xf numFmtId="0" fontId="16" fillId="0" borderId="20" xfId="0" applyFont="1" applyBorder="1" applyAlignment="1">
      <alignment horizontal="left" vertical="top"/>
    </xf>
    <xf numFmtId="0" fontId="16" fillId="0" borderId="11" xfId="0" applyFont="1" applyBorder="1" applyAlignment="1">
      <alignment horizontal="left" vertical="top"/>
    </xf>
    <xf numFmtId="0" fontId="14" fillId="0" borderId="32" xfId="0" applyFont="1" applyBorder="1" applyAlignment="1">
      <alignment horizontal="center" vertical="center" wrapText="1"/>
    </xf>
    <xf numFmtId="0" fontId="14" fillId="0" borderId="33" xfId="0" applyFont="1" applyBorder="1" applyAlignment="1">
      <alignment horizontal="center" vertical="center" wrapText="1"/>
    </xf>
    <xf numFmtId="0" fontId="4" fillId="0" borderId="32" xfId="0" applyFont="1" applyBorder="1" applyAlignment="1">
      <alignment horizontal="left" vertical="center" wrapText="1"/>
    </xf>
    <xf numFmtId="0" fontId="4" fillId="0" borderId="34" xfId="0" applyFont="1" applyBorder="1" applyAlignment="1">
      <alignment horizontal="left" vertical="center" wrapText="1"/>
    </xf>
    <xf numFmtId="0" fontId="14" fillId="0" borderId="35" xfId="0" applyFont="1" applyBorder="1" applyAlignment="1">
      <alignment horizontal="center" vertical="center" wrapText="1"/>
    </xf>
    <xf numFmtId="0" fontId="14" fillId="0" borderId="36" xfId="0" applyFont="1" applyBorder="1" applyAlignment="1">
      <alignment horizontal="center" vertical="center" wrapText="1"/>
    </xf>
    <xf numFmtId="0" fontId="4" fillId="0" borderId="35" xfId="0" applyFont="1" applyBorder="1" applyAlignment="1">
      <alignment horizontal="left" vertical="center" wrapText="1"/>
    </xf>
    <xf numFmtId="0" fontId="4" fillId="0" borderId="37" xfId="0" applyFont="1" applyBorder="1" applyAlignment="1">
      <alignment horizontal="left" vertical="center" wrapText="1"/>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2" fillId="3" borderId="14"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10" fillId="2" borderId="0" xfId="0" applyFont="1" applyFill="1" applyAlignment="1">
      <alignment horizontal="center" vertical="center" textRotation="255"/>
    </xf>
    <xf numFmtId="0" fontId="6"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0" xfId="0" applyFont="1" applyFill="1" applyAlignment="1">
      <alignment horizontal="center" vertical="center"/>
    </xf>
    <xf numFmtId="0" fontId="1" fillId="0" borderId="47" xfId="0" applyFont="1" applyBorder="1" applyAlignment="1">
      <alignment horizontal="center" vertical="center"/>
    </xf>
    <xf numFmtId="0" fontId="1" fillId="0" borderId="49" xfId="0" applyFont="1" applyBorder="1" applyAlignment="1">
      <alignment horizontal="center" vertical="center"/>
    </xf>
    <xf numFmtId="0" fontId="1" fillId="0" borderId="40"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6" xfId="0" applyFont="1" applyBorder="1" applyAlignment="1">
      <alignment horizontal="center" vertical="center"/>
    </xf>
    <xf numFmtId="0" fontId="1" fillId="0" borderId="48" xfId="0" applyFont="1" applyBorder="1" applyAlignment="1">
      <alignment horizontal="center" vertical="center"/>
    </xf>
    <xf numFmtId="0" fontId="9" fillId="0" borderId="0" xfId="0" applyFont="1" applyAlignment="1">
      <alignment horizontal="center" vertical="center"/>
    </xf>
    <xf numFmtId="176" fontId="4" fillId="0" borderId="0" xfId="0" applyNumberFormat="1" applyFont="1" applyAlignment="1">
      <alignment horizontal="right" vertical="top"/>
    </xf>
    <xf numFmtId="0" fontId="6" fillId="2" borderId="5" xfId="0" applyFont="1" applyFill="1" applyBorder="1" applyAlignment="1">
      <alignment horizontal="center" vertical="center"/>
    </xf>
    <xf numFmtId="0" fontId="6" fillId="2" borderId="2" xfId="0" applyFont="1" applyFill="1" applyBorder="1" applyAlignment="1">
      <alignment horizontal="center" vertical="center"/>
    </xf>
    <xf numFmtId="0" fontId="12" fillId="0" borderId="9" xfId="0" applyFont="1" applyBorder="1" applyAlignment="1">
      <alignment horizontal="center" vertical="center"/>
    </xf>
    <xf numFmtId="0" fontId="12" fillId="0" borderId="8" xfId="0" applyFont="1" applyBorder="1" applyAlignment="1">
      <alignment horizontal="center" vertical="center"/>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38"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4"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5" xfId="0" applyFont="1" applyFill="1" applyBorder="1" applyAlignment="1">
      <alignment horizontal="center" vertical="center"/>
    </xf>
    <xf numFmtId="0" fontId="12" fillId="3" borderId="19" xfId="0" applyFont="1" applyFill="1" applyBorder="1" applyAlignment="1">
      <alignment horizontal="center" vertical="center"/>
    </xf>
    <xf numFmtId="0" fontId="12" fillId="3" borderId="20" xfId="0" applyFont="1" applyFill="1" applyBorder="1" applyAlignment="1">
      <alignment horizontal="center" vertical="center"/>
    </xf>
    <xf numFmtId="6" fontId="1" fillId="0" borderId="50" xfId="2" applyFont="1" applyBorder="1" applyAlignment="1">
      <alignment horizontal="center" vertical="center"/>
    </xf>
    <xf numFmtId="6" fontId="1" fillId="0" borderId="10" xfId="2" applyFont="1" applyBorder="1" applyAlignment="1">
      <alignment horizontal="center" vertical="center"/>
    </xf>
    <xf numFmtId="1" fontId="1" fillId="0" borderId="50" xfId="0" applyNumberFormat="1" applyFont="1" applyBorder="1" applyAlignment="1">
      <alignment horizontal="center" vertical="center"/>
    </xf>
    <xf numFmtId="1" fontId="1" fillId="0" borderId="10" xfId="0" applyNumberFormat="1" applyFont="1" applyBorder="1" applyAlignment="1">
      <alignment horizontal="center" vertical="center"/>
    </xf>
    <xf numFmtId="0" fontId="1" fillId="0" borderId="50" xfId="0" applyFont="1" applyBorder="1" applyAlignment="1">
      <alignment horizontal="left" vertical="center"/>
    </xf>
    <xf numFmtId="0" fontId="1" fillId="0" borderId="13" xfId="0" applyFont="1" applyBorder="1" applyAlignment="1">
      <alignment horizontal="left" vertical="center"/>
    </xf>
    <xf numFmtId="0" fontId="1" fillId="0" borderId="10" xfId="0" applyFont="1" applyBorder="1" applyAlignment="1">
      <alignment horizontal="left" vertical="center"/>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0" fontId="4" fillId="0" borderId="0" xfId="0" applyFont="1" applyAlignment="1">
      <alignment horizontal="left" vertical="top" wrapText="1"/>
    </xf>
    <xf numFmtId="0" fontId="4" fillId="0" borderId="18" xfId="0" applyFont="1" applyBorder="1" applyAlignment="1">
      <alignment horizontal="left" vertical="top" wrapText="1"/>
    </xf>
    <xf numFmtId="0" fontId="4" fillId="0" borderId="20" xfId="0" applyFont="1" applyBorder="1" applyAlignment="1">
      <alignment horizontal="left" vertical="top" wrapText="1"/>
    </xf>
    <xf numFmtId="0" fontId="4" fillId="0" borderId="11" xfId="0" applyFont="1" applyBorder="1" applyAlignment="1">
      <alignment horizontal="left" vertical="top" wrapText="1"/>
    </xf>
    <xf numFmtId="0" fontId="5" fillId="0" borderId="10" xfId="0" applyFont="1" applyBorder="1" applyAlignment="1">
      <alignment horizontal="center" vertical="center"/>
    </xf>
    <xf numFmtId="0" fontId="5" fillId="0" borderId="1" xfId="0" applyFont="1" applyBorder="1" applyAlignment="1">
      <alignment horizontal="center" vertical="center"/>
    </xf>
    <xf numFmtId="0" fontId="6" fillId="2" borderId="39" xfId="0" applyFont="1" applyFill="1" applyBorder="1" applyAlignment="1">
      <alignment horizontal="center" vertical="center"/>
    </xf>
    <xf numFmtId="0" fontId="7" fillId="2" borderId="22"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24" xfId="0" applyFont="1" applyFill="1" applyBorder="1" applyAlignment="1">
      <alignment horizontal="center" vertical="center"/>
    </xf>
    <xf numFmtId="0" fontId="7" fillId="2" borderId="17" xfId="0" applyFont="1" applyFill="1" applyBorder="1" applyAlignment="1">
      <alignment horizontal="center" vertical="center"/>
    </xf>
    <xf numFmtId="0" fontId="7" fillId="2" borderId="0" xfId="0" applyFont="1" applyFill="1" applyAlignment="1">
      <alignment horizontal="center" vertical="center"/>
    </xf>
    <xf numFmtId="0" fontId="7" fillId="2" borderId="21"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18" xfId="0" applyFont="1" applyFill="1" applyBorder="1" applyAlignment="1">
      <alignment horizontal="center" vertical="center"/>
    </xf>
    <xf numFmtId="0" fontId="10" fillId="2" borderId="18" xfId="0" applyFont="1" applyFill="1" applyBorder="1" applyAlignment="1">
      <alignment horizontal="center" vertical="center" textRotation="255"/>
    </xf>
    <xf numFmtId="0" fontId="11" fillId="3" borderId="12"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13" xfId="0" applyFont="1" applyFill="1" applyBorder="1" applyAlignment="1">
      <alignment horizontal="center" vertical="center"/>
    </xf>
    <xf numFmtId="0" fontId="13" fillId="3" borderId="12" xfId="0" applyFont="1" applyFill="1" applyBorder="1" applyAlignment="1">
      <alignment horizontal="center" vertical="center" textRotation="255"/>
    </xf>
    <xf numFmtId="0" fontId="13" fillId="3" borderId="13" xfId="0" applyFont="1" applyFill="1" applyBorder="1" applyAlignment="1">
      <alignment horizontal="center" vertical="center" textRotation="255"/>
    </xf>
    <xf numFmtId="0" fontId="13" fillId="3" borderId="10" xfId="0" applyFont="1" applyFill="1" applyBorder="1" applyAlignment="1">
      <alignment horizontal="center" vertical="center" textRotation="255"/>
    </xf>
    <xf numFmtId="0" fontId="3" fillId="3" borderId="14" xfId="0" applyFont="1" applyFill="1" applyBorder="1" applyAlignment="1">
      <alignment horizontal="center" vertical="center"/>
    </xf>
    <xf numFmtId="0" fontId="3" fillId="3" borderId="16"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177" fontId="4" fillId="5" borderId="29" xfId="0" applyNumberFormat="1" applyFont="1" applyFill="1" applyBorder="1" applyAlignment="1">
      <alignment horizontal="center" vertical="center"/>
    </xf>
    <xf numFmtId="0" fontId="11" fillId="4" borderId="12" xfId="0" applyFont="1" applyFill="1" applyBorder="1" applyAlignment="1">
      <alignment horizontal="center" vertical="center"/>
    </xf>
    <xf numFmtId="0" fontId="11" fillId="4" borderId="13" xfId="0" applyFont="1" applyFill="1" applyBorder="1" applyAlignment="1">
      <alignment horizontal="center" vertical="center"/>
    </xf>
    <xf numFmtId="0" fontId="4" fillId="5" borderId="13" xfId="0" applyFont="1" applyFill="1" applyBorder="1" applyAlignment="1">
      <alignment horizontal="left" vertical="center" wrapText="1"/>
    </xf>
    <xf numFmtId="0" fontId="4" fillId="5" borderId="10" xfId="0" applyFont="1" applyFill="1" applyBorder="1" applyAlignment="1">
      <alignment horizontal="left" vertical="center" wrapText="1"/>
    </xf>
    <xf numFmtId="0" fontId="1" fillId="5" borderId="17" xfId="0" applyFont="1" applyFill="1" applyBorder="1" applyAlignment="1">
      <alignment horizontal="center" vertical="center"/>
    </xf>
    <xf numFmtId="0" fontId="1" fillId="5" borderId="25" xfId="0" applyFont="1" applyFill="1" applyBorder="1" applyAlignment="1">
      <alignment horizontal="center" vertical="center"/>
    </xf>
    <xf numFmtId="0" fontId="1" fillId="5" borderId="19" xfId="0" applyFont="1" applyFill="1" applyBorder="1" applyAlignment="1">
      <alignment horizontal="center" vertical="center"/>
    </xf>
    <xf numFmtId="0" fontId="1" fillId="5" borderId="26" xfId="0" applyFont="1" applyFill="1" applyBorder="1" applyAlignment="1">
      <alignment horizontal="center" vertical="center"/>
    </xf>
    <xf numFmtId="0" fontId="1" fillId="5" borderId="27" xfId="0" applyFont="1" applyFill="1" applyBorder="1" applyAlignment="1">
      <alignment horizontal="center" vertical="center"/>
    </xf>
    <xf numFmtId="0" fontId="1" fillId="5" borderId="28" xfId="0" applyFont="1" applyFill="1" applyBorder="1" applyAlignment="1">
      <alignment horizontal="center" vertical="center"/>
    </xf>
    <xf numFmtId="0" fontId="1" fillId="5" borderId="0" xfId="0" applyFont="1" applyFill="1" applyAlignment="1">
      <alignment horizontal="center" vertical="center"/>
    </xf>
    <xf numFmtId="0" fontId="1" fillId="5" borderId="18" xfId="0" applyFont="1" applyFill="1" applyBorder="1" applyAlignment="1">
      <alignment horizontal="center" vertical="center"/>
    </xf>
    <xf numFmtId="0" fontId="1" fillId="5" borderId="20" xfId="0" applyFont="1" applyFill="1" applyBorder="1" applyAlignment="1">
      <alignment horizontal="center" vertical="center"/>
    </xf>
    <xf numFmtId="0" fontId="1" fillId="5" borderId="11" xfId="0" applyFont="1" applyFill="1" applyBorder="1" applyAlignment="1">
      <alignment horizontal="center" vertical="center"/>
    </xf>
    <xf numFmtId="0" fontId="4" fillId="5" borderId="30" xfId="0" applyFont="1" applyFill="1" applyBorder="1" applyAlignment="1">
      <alignment horizontal="center" vertical="center"/>
    </xf>
    <xf numFmtId="0" fontId="4" fillId="5" borderId="31" xfId="0" applyFont="1" applyFill="1" applyBorder="1" applyAlignment="1">
      <alignment horizontal="center" vertical="center"/>
    </xf>
    <xf numFmtId="0" fontId="4" fillId="0" borderId="13" xfId="0" applyFont="1" applyBorder="1" applyAlignment="1">
      <alignment horizontal="left" vertical="center"/>
    </xf>
    <xf numFmtId="0" fontId="4" fillId="0" borderId="10" xfId="0" applyFont="1" applyBorder="1" applyAlignment="1">
      <alignment horizontal="left" vertical="center"/>
    </xf>
    <xf numFmtId="0" fontId="4" fillId="5" borderId="13" xfId="0" applyFont="1" applyFill="1" applyBorder="1" applyAlignment="1">
      <alignment horizontal="center" vertical="center"/>
    </xf>
    <xf numFmtId="0" fontId="4" fillId="5" borderId="10" xfId="0" applyFont="1" applyFill="1" applyBorder="1" applyAlignment="1">
      <alignment horizontal="center" vertical="center"/>
    </xf>
    <xf numFmtId="0" fontId="11" fillId="3" borderId="0" xfId="0" applyFont="1" applyFill="1" applyAlignment="1">
      <alignment horizontal="center" vertical="center"/>
    </xf>
    <xf numFmtId="0" fontId="11" fillId="4" borderId="14"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7" xfId="0" applyFont="1" applyFill="1" applyBorder="1" applyAlignment="1">
      <alignment horizontal="center" vertical="center"/>
    </xf>
    <xf numFmtId="0" fontId="11" fillId="4" borderId="0" xfId="0" applyFont="1" applyFill="1" applyAlignment="1">
      <alignment horizontal="center" vertical="center"/>
    </xf>
    <xf numFmtId="0" fontId="4" fillId="5" borderId="15" xfId="0" applyFont="1" applyFill="1" applyBorder="1" applyAlignment="1">
      <alignment horizontal="left" vertical="top" wrapText="1"/>
    </xf>
    <xf numFmtId="0" fontId="4" fillId="5" borderId="16" xfId="0" applyFont="1" applyFill="1" applyBorder="1" applyAlignment="1">
      <alignment horizontal="left" vertical="top" wrapText="1"/>
    </xf>
    <xf numFmtId="0" fontId="4" fillId="5" borderId="0" xfId="0" applyFont="1" applyFill="1" applyAlignment="1">
      <alignment horizontal="left" vertical="top" wrapText="1"/>
    </xf>
    <xf numFmtId="0" fontId="4" fillId="5" borderId="18" xfId="0" applyFont="1" applyFill="1" applyBorder="1" applyAlignment="1">
      <alignment horizontal="left" vertical="top" wrapText="1"/>
    </xf>
    <xf numFmtId="0" fontId="4" fillId="5" borderId="20" xfId="0" applyFont="1" applyFill="1" applyBorder="1" applyAlignment="1">
      <alignment horizontal="left" vertical="top" wrapText="1"/>
    </xf>
    <xf numFmtId="0" fontId="4" fillId="5" borderId="11" xfId="0" applyFont="1" applyFill="1" applyBorder="1" applyAlignment="1">
      <alignment horizontal="left" vertical="top" wrapText="1"/>
    </xf>
    <xf numFmtId="0" fontId="3" fillId="3" borderId="19" xfId="0" applyFont="1" applyFill="1" applyBorder="1" applyAlignment="1">
      <alignment horizontal="center" vertical="center"/>
    </xf>
    <xf numFmtId="0" fontId="3" fillId="3" borderId="11" xfId="0" applyFont="1" applyFill="1" applyBorder="1" applyAlignment="1">
      <alignment horizontal="center" vertical="center"/>
    </xf>
    <xf numFmtId="177" fontId="4" fillId="5" borderId="54" xfId="0" applyNumberFormat="1" applyFont="1" applyFill="1" applyBorder="1" applyAlignment="1">
      <alignment horizontal="center" vertical="center"/>
    </xf>
    <xf numFmtId="177" fontId="4" fillId="5" borderId="9" xfId="0" applyNumberFormat="1" applyFont="1" applyFill="1" applyBorder="1" applyAlignment="1">
      <alignment horizontal="center" vertical="center"/>
    </xf>
    <xf numFmtId="0" fontId="1" fillId="5" borderId="14" xfId="0" applyFont="1" applyFill="1" applyBorder="1" applyAlignment="1">
      <alignment horizontal="center" vertical="center"/>
    </xf>
    <xf numFmtId="0" fontId="1" fillId="5" borderId="51" xfId="0" applyFont="1" applyFill="1" applyBorder="1" applyAlignment="1">
      <alignment horizontal="center" vertical="center"/>
    </xf>
    <xf numFmtId="0" fontId="1" fillId="5" borderId="52" xfId="0" applyFont="1" applyFill="1" applyBorder="1" applyAlignment="1">
      <alignment horizontal="center" vertical="center"/>
    </xf>
    <xf numFmtId="0" fontId="1" fillId="5" borderId="16" xfId="0" applyFont="1" applyFill="1" applyBorder="1" applyAlignment="1">
      <alignment horizontal="center" vertical="center"/>
    </xf>
    <xf numFmtId="0" fontId="4" fillId="5" borderId="53" xfId="0" applyFont="1" applyFill="1" applyBorder="1" applyAlignment="1">
      <alignment horizontal="center" vertical="center"/>
    </xf>
    <xf numFmtId="0" fontId="11" fillId="3" borderId="14" xfId="0" applyFont="1" applyFill="1" applyBorder="1" applyAlignment="1">
      <alignment horizontal="center" vertical="center"/>
    </xf>
    <xf numFmtId="0" fontId="11" fillId="3" borderId="15" xfId="0" applyFont="1" applyFill="1" applyBorder="1" applyAlignment="1">
      <alignment horizontal="center" vertical="center"/>
    </xf>
    <xf numFmtId="0" fontId="11" fillId="3" borderId="16" xfId="0" applyFont="1" applyFill="1" applyBorder="1" applyAlignment="1">
      <alignment horizontal="center" vertical="center"/>
    </xf>
    <xf numFmtId="0" fontId="11" fillId="4" borderId="19" xfId="0" applyFont="1" applyFill="1" applyBorder="1" applyAlignment="1">
      <alignment horizontal="center" vertical="center"/>
    </xf>
    <xf numFmtId="0" fontId="11" fillId="4" borderId="20" xfId="0" applyFont="1" applyFill="1" applyBorder="1" applyAlignment="1">
      <alignment horizontal="center" vertical="center"/>
    </xf>
    <xf numFmtId="0" fontId="4" fillId="5" borderId="17" xfId="0" applyFont="1" applyFill="1" applyBorder="1" applyAlignment="1">
      <alignment horizontal="left" vertical="top" wrapText="1"/>
    </xf>
    <xf numFmtId="0" fontId="4" fillId="5" borderId="19" xfId="0" applyFont="1" applyFill="1" applyBorder="1" applyAlignment="1">
      <alignment horizontal="left" vertical="top" wrapText="1"/>
    </xf>
    <xf numFmtId="177" fontId="4" fillId="0" borderId="29" xfId="0" applyNumberFormat="1" applyFont="1" applyBorder="1" applyAlignment="1">
      <alignment horizontal="center" vertical="center"/>
    </xf>
    <xf numFmtId="0" fontId="1" fillId="0" borderId="17"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0" xfId="0" applyFont="1" applyAlignment="1">
      <alignment horizontal="center" vertical="center"/>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1" fillId="0" borderId="11"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4" fillId="0" borderId="13" xfId="0" applyFont="1" applyBorder="1" applyAlignment="1">
      <alignment horizontal="center" vertical="center"/>
    </xf>
    <xf numFmtId="0" fontId="4" fillId="0" borderId="10" xfId="0" applyFont="1" applyBorder="1" applyAlignment="1">
      <alignment horizontal="center" vertical="center"/>
    </xf>
    <xf numFmtId="177" fontId="4" fillId="0" borderId="9" xfId="0" applyNumberFormat="1" applyFont="1" applyBorder="1" applyAlignment="1">
      <alignment horizontal="center" vertical="center"/>
    </xf>
    <xf numFmtId="177" fontId="4" fillId="0" borderId="54" xfId="0" applyNumberFormat="1" applyFont="1" applyBorder="1" applyAlignment="1">
      <alignment horizontal="center" vertical="center"/>
    </xf>
    <xf numFmtId="0" fontId="1" fillId="0" borderId="14" xfId="0" applyFont="1" applyBorder="1" applyAlignment="1">
      <alignment horizontal="center" vertical="center"/>
    </xf>
    <xf numFmtId="0" fontId="1" fillId="0" borderId="51" xfId="0" applyFont="1" applyBorder="1" applyAlignment="1">
      <alignment horizontal="center" vertical="center"/>
    </xf>
    <xf numFmtId="0" fontId="1" fillId="0" borderId="52" xfId="0" applyFont="1" applyBorder="1" applyAlignment="1">
      <alignment horizontal="center" vertical="center"/>
    </xf>
    <xf numFmtId="0" fontId="4" fillId="0" borderId="17" xfId="0" applyFont="1" applyBorder="1" applyAlignment="1">
      <alignment horizontal="left" vertical="top" wrapText="1"/>
    </xf>
    <xf numFmtId="0" fontId="1" fillId="0" borderId="16" xfId="0" applyFont="1" applyBorder="1" applyAlignment="1">
      <alignment horizontal="center" vertical="center"/>
    </xf>
    <xf numFmtId="0" fontId="4" fillId="0" borderId="53" xfId="0" applyFont="1" applyBorder="1" applyAlignment="1">
      <alignment horizontal="center" vertical="center"/>
    </xf>
    <xf numFmtId="0" fontId="1" fillId="0" borderId="15" xfId="0" applyFont="1" applyBorder="1" applyAlignment="1">
      <alignment horizontal="center" vertical="center"/>
    </xf>
  </cellXfs>
  <cellStyles count="3">
    <cellStyle name="パーセント" xfId="1" builtinId="5"/>
    <cellStyle name="通貨" xfId="2" builtinId="7"/>
    <cellStyle name="標準" xfId="0" builtinId="0"/>
  </cellStyles>
  <dxfs count="0"/>
  <tableStyles count="0" defaultTableStyle="TableStyleMedium2" defaultPivotStyle="PivotStyleLight16"/>
  <colors>
    <mruColors>
      <color rgb="FFFF9999"/>
      <color rgb="FFA50021"/>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15523-5954-43D4-8A76-75A21CE19DE9}">
  <sheetPr>
    <tabColor theme="4" tint="0.79998168889431442"/>
    <pageSetUpPr fitToPage="1"/>
  </sheetPr>
  <dimension ref="A1:BF299"/>
  <sheetViews>
    <sheetView showGridLines="0" tabSelected="1" view="pageBreakPreview" zoomScale="120" zoomScaleNormal="62" zoomScaleSheetLayoutView="120" workbookViewId="0">
      <selection activeCell="P30" sqref="P30:BB38"/>
    </sheetView>
  </sheetViews>
  <sheetFormatPr defaultColWidth="1.875" defaultRowHeight="20.100000000000001" customHeight="1"/>
  <cols>
    <col min="1" max="56" width="1.875" style="1"/>
    <col min="57" max="57" width="27" style="1" customWidth="1"/>
    <col min="58" max="58" width="5.875" style="1" customWidth="1"/>
    <col min="59" max="16384" width="1.875" style="1"/>
  </cols>
  <sheetData>
    <row r="1" spans="1:58" ht="25.35" customHeight="1">
      <c r="A1" s="60" t="s">
        <v>0</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E1" s="1" t="s">
        <v>1</v>
      </c>
    </row>
    <row r="2" spans="1:58" ht="20.100000000000001" customHeight="1">
      <c r="AE2" s="61">
        <f ca="1">TODAY()</f>
        <v>46197</v>
      </c>
      <c r="AF2" s="61"/>
      <c r="AG2" s="61"/>
      <c r="AH2" s="61"/>
      <c r="AI2" s="61"/>
      <c r="AJ2" s="61"/>
      <c r="AK2" s="61"/>
      <c r="AL2" s="61"/>
      <c r="AM2" s="61"/>
      <c r="AN2" s="61"/>
      <c r="AO2" s="61"/>
      <c r="AP2" s="61"/>
      <c r="AQ2" s="61"/>
      <c r="AR2" s="61"/>
      <c r="AS2" s="61"/>
      <c r="AT2" s="61"/>
      <c r="AU2" s="61"/>
      <c r="AV2" s="61"/>
      <c r="AW2" s="61"/>
      <c r="AX2" s="61"/>
      <c r="AY2" s="61"/>
      <c r="AZ2" s="61"/>
      <c r="BA2" s="61"/>
      <c r="BB2" s="61"/>
      <c r="BE2" s="8"/>
      <c r="BF2" s="9"/>
    </row>
    <row r="3" spans="1:58" ht="15.95" customHeight="1">
      <c r="A3" s="62" t="s">
        <v>2</v>
      </c>
      <c r="B3" s="62"/>
      <c r="C3" s="62"/>
      <c r="D3" s="62"/>
      <c r="E3" s="63"/>
      <c r="F3" s="64"/>
      <c r="G3" s="65"/>
      <c r="H3" s="65"/>
      <c r="I3" s="65"/>
      <c r="J3" s="65"/>
      <c r="K3" s="65"/>
      <c r="L3" s="65"/>
      <c r="M3" s="65"/>
      <c r="N3" s="65"/>
      <c r="O3" s="65"/>
      <c r="P3" s="65"/>
      <c r="Q3" s="65"/>
      <c r="R3" s="65"/>
      <c r="S3" s="65"/>
      <c r="T3" s="65"/>
      <c r="U3" s="65"/>
      <c r="V3" s="65"/>
      <c r="W3" s="65"/>
      <c r="X3" s="66" t="s">
        <v>3</v>
      </c>
      <c r="Y3" s="67"/>
      <c r="Z3" s="68"/>
      <c r="AA3" s="77" t="s">
        <v>4</v>
      </c>
      <c r="AB3" s="78"/>
      <c r="AC3" s="50" t="s">
        <v>5</v>
      </c>
      <c r="AD3" s="51"/>
      <c r="AE3" s="51"/>
      <c r="AF3" s="51"/>
      <c r="AG3" s="51"/>
      <c r="AH3" s="86"/>
      <c r="AI3" s="86"/>
      <c r="AJ3" s="86"/>
      <c r="AK3" s="86"/>
      <c r="AL3" s="86"/>
      <c r="AM3" s="86"/>
      <c r="AN3" s="86"/>
      <c r="AO3" s="86"/>
      <c r="AP3" s="86"/>
      <c r="AQ3" s="86"/>
      <c r="AR3" s="86"/>
      <c r="AS3" s="86"/>
      <c r="AT3" s="86"/>
      <c r="AU3" s="86"/>
      <c r="AV3" s="86"/>
      <c r="AW3" s="86"/>
      <c r="AX3" s="86"/>
      <c r="AY3" s="86"/>
      <c r="AZ3" s="86"/>
      <c r="BA3" s="86"/>
      <c r="BB3" s="87"/>
      <c r="BE3" s="10"/>
      <c r="BF3" s="11"/>
    </row>
    <row r="4" spans="1:58" ht="15.95" customHeight="1">
      <c r="A4" s="69" t="s">
        <v>6</v>
      </c>
      <c r="B4" s="69"/>
      <c r="C4" s="69"/>
      <c r="D4" s="69"/>
      <c r="E4" s="70"/>
      <c r="F4" s="92" t="s">
        <v>7</v>
      </c>
      <c r="G4" s="93"/>
      <c r="H4" s="93"/>
      <c r="I4" s="93"/>
      <c r="J4" s="93"/>
      <c r="K4" s="93"/>
      <c r="L4" s="93"/>
      <c r="M4" s="93"/>
      <c r="N4" s="93"/>
      <c r="O4" s="93"/>
      <c r="P4" s="93"/>
      <c r="Q4" s="93"/>
      <c r="R4" s="93"/>
      <c r="S4" s="93"/>
      <c r="T4" s="93"/>
      <c r="U4" s="93"/>
      <c r="V4" s="93"/>
      <c r="W4" s="93"/>
      <c r="X4" s="50" t="s">
        <v>8</v>
      </c>
      <c r="Y4" s="51"/>
      <c r="Z4" s="94"/>
      <c r="AA4" s="79">
        <v>42</v>
      </c>
      <c r="AB4" s="80"/>
      <c r="AC4" s="52"/>
      <c r="AD4" s="53"/>
      <c r="AE4" s="53"/>
      <c r="AF4" s="53"/>
      <c r="AG4" s="53"/>
      <c r="AH4" s="88"/>
      <c r="AI4" s="88"/>
      <c r="AJ4" s="88"/>
      <c r="AK4" s="88"/>
      <c r="AL4" s="88"/>
      <c r="AM4" s="88"/>
      <c r="AN4" s="88"/>
      <c r="AO4" s="88"/>
      <c r="AP4" s="88"/>
      <c r="AQ4" s="88"/>
      <c r="AR4" s="88"/>
      <c r="AS4" s="88"/>
      <c r="AT4" s="88"/>
      <c r="AU4" s="88"/>
      <c r="AV4" s="88"/>
      <c r="AW4" s="88"/>
      <c r="AX4" s="88"/>
      <c r="AY4" s="88"/>
      <c r="AZ4" s="88"/>
      <c r="BA4" s="88"/>
      <c r="BB4" s="89"/>
      <c r="BE4" s="10"/>
      <c r="BF4" s="11"/>
    </row>
    <row r="5" spans="1:58" ht="15.95" customHeight="1">
      <c r="A5" s="69" t="s">
        <v>9</v>
      </c>
      <c r="B5" s="69"/>
      <c r="C5" s="69"/>
      <c r="D5" s="69"/>
      <c r="E5" s="70"/>
      <c r="F5" s="81" t="s">
        <v>10</v>
      </c>
      <c r="G5" s="82"/>
      <c r="H5" s="82"/>
      <c r="I5" s="82"/>
      <c r="J5" s="82"/>
      <c r="K5" s="82"/>
      <c r="L5" s="82"/>
      <c r="M5" s="82"/>
      <c r="N5" s="82"/>
      <c r="O5" s="82"/>
      <c r="P5" s="82"/>
      <c r="Q5" s="82"/>
      <c r="R5" s="82"/>
      <c r="S5" s="82"/>
      <c r="T5" s="82"/>
      <c r="U5" s="82"/>
      <c r="V5" s="82"/>
      <c r="W5" s="82"/>
      <c r="X5" s="82"/>
      <c r="Y5" s="82"/>
      <c r="Z5" s="82"/>
      <c r="AA5" s="82"/>
      <c r="AB5" s="83"/>
      <c r="AC5" s="52"/>
      <c r="AD5" s="53"/>
      <c r="AE5" s="53"/>
      <c r="AF5" s="53"/>
      <c r="AG5" s="53"/>
      <c r="AH5" s="88"/>
      <c r="AI5" s="88"/>
      <c r="AJ5" s="88"/>
      <c r="AK5" s="88"/>
      <c r="AL5" s="88"/>
      <c r="AM5" s="88"/>
      <c r="AN5" s="88"/>
      <c r="AO5" s="88"/>
      <c r="AP5" s="88"/>
      <c r="AQ5" s="88"/>
      <c r="AR5" s="88"/>
      <c r="AS5" s="88"/>
      <c r="AT5" s="88"/>
      <c r="AU5" s="88"/>
      <c r="AV5" s="88"/>
      <c r="AW5" s="88"/>
      <c r="AX5" s="88"/>
      <c r="AY5" s="88"/>
      <c r="AZ5" s="88"/>
      <c r="BA5" s="88"/>
      <c r="BB5" s="89"/>
    </row>
    <row r="6" spans="1:58" ht="15.95" customHeight="1">
      <c r="A6" s="71" t="s">
        <v>11</v>
      </c>
      <c r="B6" s="71"/>
      <c r="C6" s="71"/>
      <c r="D6" s="71"/>
      <c r="E6" s="72"/>
      <c r="F6" s="81" t="s">
        <v>12</v>
      </c>
      <c r="G6" s="82"/>
      <c r="H6" s="82"/>
      <c r="I6" s="82"/>
      <c r="J6" s="82"/>
      <c r="K6" s="82"/>
      <c r="L6" s="82"/>
      <c r="M6" s="82"/>
      <c r="N6" s="82"/>
      <c r="O6" s="82"/>
      <c r="P6" s="82"/>
      <c r="Q6" s="82"/>
      <c r="R6" s="82"/>
      <c r="S6" s="82"/>
      <c r="T6" s="82"/>
      <c r="U6" s="82"/>
      <c r="V6" s="82"/>
      <c r="W6" s="82"/>
      <c r="X6" s="82"/>
      <c r="Y6" s="82"/>
      <c r="Z6" s="82"/>
      <c r="AA6" s="82"/>
      <c r="AB6" s="83"/>
      <c r="AC6" s="84"/>
      <c r="AD6" s="85"/>
      <c r="AE6" s="85"/>
      <c r="AF6" s="85"/>
      <c r="AG6" s="85"/>
      <c r="AH6" s="90"/>
      <c r="AI6" s="90"/>
      <c r="AJ6" s="90"/>
      <c r="AK6" s="90"/>
      <c r="AL6" s="90"/>
      <c r="AM6" s="90"/>
      <c r="AN6" s="90"/>
      <c r="AO6" s="90"/>
      <c r="AP6" s="90"/>
      <c r="AQ6" s="90"/>
      <c r="AR6" s="90"/>
      <c r="AS6" s="90"/>
      <c r="AT6" s="90"/>
      <c r="AU6" s="90"/>
      <c r="AV6" s="90"/>
      <c r="AW6" s="90"/>
      <c r="AX6" s="90"/>
      <c r="AY6" s="90"/>
      <c r="AZ6" s="90"/>
      <c r="BA6" s="90"/>
      <c r="BB6" s="91"/>
    </row>
    <row r="7" spans="1:58" ht="10.35" customHeight="1"/>
    <row r="8" spans="1:58" ht="20.100000000000001" customHeight="1">
      <c r="A8" s="95" t="s">
        <v>13</v>
      </c>
      <c r="B8" s="96"/>
      <c r="C8" s="96"/>
      <c r="D8" s="96"/>
      <c r="E8" s="96"/>
      <c r="F8" s="96"/>
      <c r="G8" s="96"/>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c r="AV8" s="96"/>
      <c r="AW8" s="96"/>
      <c r="AX8" s="96"/>
      <c r="AY8" s="96"/>
      <c r="AZ8" s="96"/>
      <c r="BA8" s="96"/>
      <c r="BB8" s="97"/>
    </row>
    <row r="9" spans="1:58" ht="42" customHeight="1">
      <c r="A9" s="98" t="s">
        <v>14</v>
      </c>
      <c r="B9" s="99"/>
      <c r="C9" s="99"/>
      <c r="D9" s="99"/>
      <c r="E9" s="99"/>
      <c r="F9" s="99"/>
      <c r="G9" s="99"/>
      <c r="H9" s="99"/>
      <c r="I9" s="99"/>
      <c r="J9" s="99"/>
      <c r="K9" s="99"/>
      <c r="L9" s="99"/>
      <c r="M9" s="99"/>
      <c r="N9" s="99"/>
      <c r="O9" s="99"/>
      <c r="P9" s="99"/>
      <c r="Q9" s="99"/>
      <c r="R9" s="99"/>
      <c r="S9" s="99"/>
      <c r="T9" s="99"/>
      <c r="U9" s="99"/>
      <c r="V9" s="99"/>
      <c r="W9" s="99"/>
      <c r="X9" s="99"/>
      <c r="Y9" s="99"/>
      <c r="Z9" s="99"/>
      <c r="AA9" s="99"/>
      <c r="AB9" s="99"/>
      <c r="AC9" s="99"/>
      <c r="AD9" s="99"/>
      <c r="AE9" s="99"/>
      <c r="AF9" s="99"/>
      <c r="AG9" s="99"/>
      <c r="AH9" s="99"/>
      <c r="AI9" s="99"/>
      <c r="AJ9" s="100"/>
      <c r="AK9" s="49" t="s">
        <v>15</v>
      </c>
      <c r="AL9" s="49"/>
      <c r="AM9" s="49" t="s">
        <v>16</v>
      </c>
      <c r="AN9" s="49"/>
      <c r="AO9" s="49" t="s">
        <v>17</v>
      </c>
      <c r="AP9" s="49"/>
      <c r="AQ9" s="49" t="s">
        <v>18</v>
      </c>
      <c r="AR9" s="49"/>
      <c r="AS9" s="49" t="s">
        <v>19</v>
      </c>
      <c r="AT9" s="49"/>
      <c r="AU9" s="49" t="s">
        <v>20</v>
      </c>
      <c r="AV9" s="49"/>
      <c r="AW9" s="49" t="s">
        <v>21</v>
      </c>
      <c r="AX9" s="49"/>
      <c r="AY9" s="49" t="s">
        <v>22</v>
      </c>
      <c r="AZ9" s="49"/>
      <c r="BA9" s="49" t="s">
        <v>23</v>
      </c>
      <c r="BB9" s="103"/>
    </row>
    <row r="10" spans="1:58" ht="13.5" customHeight="1">
      <c r="A10" s="73" t="s">
        <v>24</v>
      </c>
      <c r="B10" s="74"/>
      <c r="C10" s="74"/>
      <c r="D10" s="74"/>
      <c r="E10" s="74"/>
      <c r="F10" s="74"/>
      <c r="G10" s="74"/>
      <c r="H10" s="33" t="s">
        <v>25</v>
      </c>
      <c r="I10" s="33"/>
      <c r="J10" s="34"/>
      <c r="K10" s="35" t="s">
        <v>26</v>
      </c>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6"/>
      <c r="AK10" s="58" t="s">
        <v>27</v>
      </c>
      <c r="AL10" s="54"/>
      <c r="AM10" s="54" t="s">
        <v>28</v>
      </c>
      <c r="AN10" s="54"/>
      <c r="AO10" s="54" t="s">
        <v>29</v>
      </c>
      <c r="AP10" s="54"/>
      <c r="AQ10" s="54" t="s">
        <v>29</v>
      </c>
      <c r="AR10" s="54"/>
      <c r="AS10" s="54" t="s">
        <v>29</v>
      </c>
      <c r="AT10" s="54"/>
      <c r="AU10" s="54" t="s">
        <v>29</v>
      </c>
      <c r="AV10" s="54"/>
      <c r="AW10" s="54" t="s">
        <v>29</v>
      </c>
      <c r="AX10" s="54"/>
      <c r="AY10" s="54" t="s">
        <v>29</v>
      </c>
      <c r="AZ10" s="54"/>
      <c r="BA10" s="54" t="s">
        <v>29</v>
      </c>
      <c r="BB10" s="54"/>
    </row>
    <row r="11" spans="1:58" ht="13.5" customHeight="1">
      <c r="A11" s="75"/>
      <c r="B11" s="76"/>
      <c r="C11" s="76"/>
      <c r="D11" s="76"/>
      <c r="E11" s="76"/>
      <c r="F11" s="76"/>
      <c r="G11" s="76"/>
      <c r="H11" s="37" t="s">
        <v>30</v>
      </c>
      <c r="I11" s="37"/>
      <c r="J11" s="38"/>
      <c r="K11" s="39" t="s">
        <v>31</v>
      </c>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40"/>
      <c r="AK11" s="59"/>
      <c r="AL11" s="55"/>
      <c r="AM11" s="55"/>
      <c r="AN11" s="55"/>
      <c r="AO11" s="55"/>
      <c r="AP11" s="55"/>
      <c r="AQ11" s="55"/>
      <c r="AR11" s="55"/>
      <c r="AS11" s="55"/>
      <c r="AT11" s="55"/>
      <c r="AU11" s="55"/>
      <c r="AV11" s="55"/>
      <c r="AW11" s="55"/>
      <c r="AX11" s="55"/>
      <c r="AY11" s="55"/>
      <c r="AZ11" s="55"/>
      <c r="BA11" s="55"/>
      <c r="BB11" s="55"/>
    </row>
    <row r="12" spans="1:58" ht="13.5" customHeight="1">
      <c r="A12" s="45" t="s">
        <v>32</v>
      </c>
      <c r="B12" s="46"/>
      <c r="C12" s="46"/>
      <c r="D12" s="46"/>
      <c r="E12" s="46"/>
      <c r="F12" s="46"/>
      <c r="G12" s="46"/>
      <c r="H12" s="33" t="s">
        <v>25</v>
      </c>
      <c r="I12" s="33"/>
      <c r="J12" s="34"/>
      <c r="K12" s="35" t="s">
        <v>33</v>
      </c>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6"/>
      <c r="AK12" s="50" t="s">
        <v>34</v>
      </c>
      <c r="AL12" s="51"/>
      <c r="AM12" s="51"/>
      <c r="AN12" s="51"/>
      <c r="AO12" s="51" t="s">
        <v>35</v>
      </c>
      <c r="AP12" s="51"/>
      <c r="AQ12" s="51"/>
      <c r="AR12" s="51"/>
      <c r="AS12" s="51" t="s">
        <v>36</v>
      </c>
      <c r="AT12" s="51"/>
      <c r="AU12" s="51"/>
      <c r="AV12" s="51"/>
      <c r="AW12" s="51" t="s">
        <v>37</v>
      </c>
      <c r="AX12" s="51"/>
      <c r="AY12" s="51"/>
      <c r="AZ12" s="51"/>
      <c r="BA12" s="51"/>
      <c r="BB12" s="101"/>
    </row>
    <row r="13" spans="1:58" ht="13.5" customHeight="1">
      <c r="A13" s="47"/>
      <c r="B13" s="48"/>
      <c r="C13" s="48"/>
      <c r="D13" s="48"/>
      <c r="E13" s="48"/>
      <c r="F13" s="48"/>
      <c r="G13" s="48"/>
      <c r="H13" s="37" t="s">
        <v>30</v>
      </c>
      <c r="I13" s="37"/>
      <c r="J13" s="38"/>
      <c r="K13" s="39" t="s">
        <v>38</v>
      </c>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40"/>
      <c r="AK13" s="52"/>
      <c r="AL13" s="53"/>
      <c r="AM13" s="53"/>
      <c r="AN13" s="53"/>
      <c r="AO13" s="53"/>
      <c r="AP13" s="53"/>
      <c r="AQ13" s="53"/>
      <c r="AR13" s="53"/>
      <c r="AS13" s="53"/>
      <c r="AT13" s="53"/>
      <c r="AU13" s="53"/>
      <c r="AV13" s="53"/>
      <c r="AW13" s="53"/>
      <c r="AX13" s="53"/>
      <c r="AY13" s="53"/>
      <c r="AZ13" s="53"/>
      <c r="BA13" s="53"/>
      <c r="BB13" s="102"/>
    </row>
    <row r="14" spans="1:58" ht="13.5" customHeight="1">
      <c r="A14" s="45" t="s">
        <v>39</v>
      </c>
      <c r="B14" s="46"/>
      <c r="C14" s="46"/>
      <c r="D14" s="46"/>
      <c r="E14" s="46"/>
      <c r="F14" s="46"/>
      <c r="G14" s="46"/>
      <c r="H14" s="33" t="s">
        <v>25</v>
      </c>
      <c r="I14" s="33"/>
      <c r="J14" s="34"/>
      <c r="K14" s="35" t="s">
        <v>40</v>
      </c>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6"/>
      <c r="AK14" s="56" t="s">
        <v>27</v>
      </c>
      <c r="AL14" s="41"/>
      <c r="AM14" s="41"/>
      <c r="AN14" s="41"/>
      <c r="AO14" s="41" t="s">
        <v>27</v>
      </c>
      <c r="AP14" s="41"/>
      <c r="AQ14" s="41"/>
      <c r="AR14" s="41"/>
      <c r="AS14" s="41" t="s">
        <v>27</v>
      </c>
      <c r="AT14" s="41"/>
      <c r="AU14" s="41"/>
      <c r="AV14" s="41"/>
      <c r="AW14" s="41" t="s">
        <v>29</v>
      </c>
      <c r="AX14" s="41"/>
      <c r="AY14" s="41"/>
      <c r="AZ14" s="41"/>
      <c r="BA14" s="41"/>
      <c r="BB14" s="42"/>
    </row>
    <row r="15" spans="1:58" ht="13.5" customHeight="1">
      <c r="A15" s="47"/>
      <c r="B15" s="48"/>
      <c r="C15" s="48"/>
      <c r="D15" s="48"/>
      <c r="E15" s="48"/>
      <c r="F15" s="48"/>
      <c r="G15" s="48"/>
      <c r="H15" s="37" t="s">
        <v>30</v>
      </c>
      <c r="I15" s="37"/>
      <c r="J15" s="38"/>
      <c r="K15" s="39" t="s">
        <v>41</v>
      </c>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40"/>
      <c r="AK15" s="57"/>
      <c r="AL15" s="43"/>
      <c r="AM15" s="43"/>
      <c r="AN15" s="43"/>
      <c r="AO15" s="43"/>
      <c r="AP15" s="43"/>
      <c r="AQ15" s="43"/>
      <c r="AR15" s="43"/>
      <c r="AS15" s="43"/>
      <c r="AT15" s="43"/>
      <c r="AU15" s="43"/>
      <c r="AV15" s="43"/>
      <c r="AW15" s="43"/>
      <c r="AX15" s="43"/>
      <c r="AY15" s="43"/>
      <c r="AZ15" s="43"/>
      <c r="BA15" s="43"/>
      <c r="BB15" s="44"/>
    </row>
    <row r="16" spans="1:58" ht="21.75" customHeight="1">
      <c r="A16" s="45" t="s">
        <v>42</v>
      </c>
      <c r="B16" s="46"/>
      <c r="C16" s="46"/>
      <c r="D16" s="46"/>
      <c r="E16" s="46"/>
      <c r="F16" s="46"/>
      <c r="G16" s="46"/>
      <c r="H16" s="33" t="s">
        <v>25</v>
      </c>
      <c r="I16" s="33"/>
      <c r="J16" s="34"/>
      <c r="K16" s="35" t="s">
        <v>43</v>
      </c>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6"/>
      <c r="AK16" s="21" t="s">
        <v>44</v>
      </c>
      <c r="AL16" s="22"/>
      <c r="AM16" s="22"/>
      <c r="AN16" s="22"/>
      <c r="AO16" s="22"/>
      <c r="AP16" s="22"/>
      <c r="AQ16" s="22"/>
      <c r="AR16" s="22"/>
      <c r="AS16" s="22"/>
      <c r="AT16" s="22"/>
      <c r="AU16" s="22"/>
      <c r="AV16" s="22"/>
      <c r="AW16" s="22"/>
      <c r="AX16" s="22"/>
      <c r="AY16" s="22"/>
      <c r="AZ16" s="22"/>
      <c r="BA16" s="22"/>
      <c r="BB16" s="23"/>
    </row>
    <row r="17" spans="1:54" ht="13.5" customHeight="1">
      <c r="A17" s="47"/>
      <c r="B17" s="48"/>
      <c r="C17" s="48"/>
      <c r="D17" s="48"/>
      <c r="E17" s="48"/>
      <c r="F17" s="48"/>
      <c r="G17" s="48"/>
      <c r="H17" s="37" t="s">
        <v>30</v>
      </c>
      <c r="I17" s="37"/>
      <c r="J17" s="38"/>
      <c r="K17" s="39" t="s">
        <v>45</v>
      </c>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40"/>
      <c r="AK17" s="24"/>
      <c r="AL17" s="25"/>
      <c r="AM17" s="25"/>
      <c r="AN17" s="25"/>
      <c r="AO17" s="25"/>
      <c r="AP17" s="25"/>
      <c r="AQ17" s="25"/>
      <c r="AR17" s="25"/>
      <c r="AS17" s="25"/>
      <c r="AT17" s="25"/>
      <c r="AU17" s="25"/>
      <c r="AV17" s="25"/>
      <c r="AW17" s="25"/>
      <c r="AX17" s="25"/>
      <c r="AY17" s="25"/>
      <c r="AZ17" s="25"/>
      <c r="BA17" s="25"/>
      <c r="BB17" s="26"/>
    </row>
    <row r="18" spans="1:54" ht="13.5" customHeight="1">
      <c r="A18" s="45" t="s">
        <v>46</v>
      </c>
      <c r="B18" s="46"/>
      <c r="C18" s="46"/>
      <c r="D18" s="46"/>
      <c r="E18" s="46"/>
      <c r="F18" s="46"/>
      <c r="G18" s="46"/>
      <c r="H18" s="33" t="s">
        <v>25</v>
      </c>
      <c r="I18" s="33"/>
      <c r="J18" s="34"/>
      <c r="K18" s="39" t="s">
        <v>47</v>
      </c>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40"/>
      <c r="AK18" s="27"/>
      <c r="AL18" s="28"/>
      <c r="AM18" s="28"/>
      <c r="AN18" s="28"/>
      <c r="AO18" s="28"/>
      <c r="AP18" s="28"/>
      <c r="AQ18" s="28"/>
      <c r="AR18" s="28"/>
      <c r="AS18" s="28"/>
      <c r="AT18" s="28"/>
      <c r="AU18" s="28"/>
      <c r="AV18" s="28"/>
      <c r="AW18" s="28"/>
      <c r="AX18" s="28"/>
      <c r="AY18" s="28"/>
      <c r="AZ18" s="28"/>
      <c r="BA18" s="28"/>
      <c r="BB18" s="29"/>
    </row>
    <row r="19" spans="1:54" ht="13.5" customHeight="1">
      <c r="A19" s="47"/>
      <c r="B19" s="48"/>
      <c r="C19" s="48"/>
      <c r="D19" s="48"/>
      <c r="E19" s="48"/>
      <c r="F19" s="48"/>
      <c r="G19" s="48"/>
      <c r="H19" s="37" t="s">
        <v>30</v>
      </c>
      <c r="I19" s="37"/>
      <c r="J19" s="38"/>
      <c r="K19" s="39" t="s">
        <v>48</v>
      </c>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40"/>
      <c r="AK19" s="27"/>
      <c r="AL19" s="28"/>
      <c r="AM19" s="28"/>
      <c r="AN19" s="28"/>
      <c r="AO19" s="28"/>
      <c r="AP19" s="28"/>
      <c r="AQ19" s="28"/>
      <c r="AR19" s="28"/>
      <c r="AS19" s="28"/>
      <c r="AT19" s="28"/>
      <c r="AU19" s="28"/>
      <c r="AV19" s="28"/>
      <c r="AW19" s="28"/>
      <c r="AX19" s="28"/>
      <c r="AY19" s="28"/>
      <c r="AZ19" s="28"/>
      <c r="BA19" s="28"/>
      <c r="BB19" s="29"/>
    </row>
    <row r="20" spans="1:54" ht="13.5" customHeight="1">
      <c r="A20" s="45" t="s">
        <v>49</v>
      </c>
      <c r="B20" s="46"/>
      <c r="C20" s="46"/>
      <c r="D20" s="46"/>
      <c r="E20" s="46"/>
      <c r="F20" s="46"/>
      <c r="G20" s="46"/>
      <c r="H20" s="33" t="s">
        <v>25</v>
      </c>
      <c r="I20" s="33"/>
      <c r="J20" s="34"/>
      <c r="K20" s="35" t="s">
        <v>50</v>
      </c>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6"/>
      <c r="AK20" s="27"/>
      <c r="AL20" s="28"/>
      <c r="AM20" s="28"/>
      <c r="AN20" s="28"/>
      <c r="AO20" s="28"/>
      <c r="AP20" s="28"/>
      <c r="AQ20" s="28"/>
      <c r="AR20" s="28"/>
      <c r="AS20" s="28"/>
      <c r="AT20" s="28"/>
      <c r="AU20" s="28"/>
      <c r="AV20" s="28"/>
      <c r="AW20" s="28"/>
      <c r="AX20" s="28"/>
      <c r="AY20" s="28"/>
      <c r="AZ20" s="28"/>
      <c r="BA20" s="28"/>
      <c r="BB20" s="29"/>
    </row>
    <row r="21" spans="1:54" ht="13.5" customHeight="1">
      <c r="A21" s="47"/>
      <c r="B21" s="48"/>
      <c r="C21" s="48"/>
      <c r="D21" s="48"/>
      <c r="E21" s="48"/>
      <c r="F21" s="48"/>
      <c r="G21" s="48"/>
      <c r="H21" s="37" t="s">
        <v>30</v>
      </c>
      <c r="I21" s="37"/>
      <c r="J21" s="38"/>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40"/>
      <c r="AK21" s="30"/>
      <c r="AL21" s="31"/>
      <c r="AM21" s="31"/>
      <c r="AN21" s="31"/>
      <c r="AO21" s="31"/>
      <c r="AP21" s="31"/>
      <c r="AQ21" s="31"/>
      <c r="AR21" s="31"/>
      <c r="AS21" s="31"/>
      <c r="AT21" s="31"/>
      <c r="AU21" s="31"/>
      <c r="AV21" s="31"/>
      <c r="AW21" s="31"/>
      <c r="AX21" s="31"/>
      <c r="AY21" s="31"/>
      <c r="AZ21" s="31"/>
      <c r="BA21" s="31"/>
      <c r="BB21" s="32"/>
    </row>
    <row r="22" spans="1:54" ht="30" hidden="1" customHeight="1">
      <c r="A22" s="14"/>
      <c r="B22" s="15"/>
      <c r="C22" s="15"/>
      <c r="D22" s="15"/>
      <c r="E22" s="15"/>
      <c r="F22" s="15"/>
      <c r="G22" s="15"/>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7"/>
      <c r="AK22" s="2"/>
      <c r="AL22" s="3"/>
      <c r="AM22" s="3"/>
      <c r="AN22" s="3"/>
      <c r="AO22" s="3"/>
      <c r="AP22" s="3"/>
      <c r="AQ22" s="3"/>
      <c r="AR22" s="3"/>
      <c r="AS22" s="3"/>
      <c r="AT22" s="3"/>
      <c r="AU22" s="3"/>
      <c r="AV22" s="3"/>
      <c r="AW22" s="3"/>
      <c r="AX22" s="3"/>
      <c r="AY22" s="3"/>
      <c r="AZ22" s="3"/>
      <c r="BA22" s="3"/>
      <c r="BB22" s="4"/>
    </row>
    <row r="23" spans="1:54" ht="30" hidden="1" customHeight="1">
      <c r="A23" s="14"/>
      <c r="B23" s="15"/>
      <c r="C23" s="15"/>
      <c r="D23" s="15"/>
      <c r="E23" s="15"/>
      <c r="F23" s="15"/>
      <c r="G23" s="15"/>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7"/>
      <c r="AK23" s="2"/>
      <c r="AL23" s="3"/>
      <c r="AM23" s="3"/>
      <c r="AN23" s="3"/>
      <c r="AO23" s="3"/>
      <c r="AP23" s="3"/>
      <c r="AQ23" s="3"/>
      <c r="AR23" s="3"/>
      <c r="AS23" s="3"/>
      <c r="AT23" s="3"/>
      <c r="AU23" s="3"/>
      <c r="AV23" s="3"/>
      <c r="AW23" s="3"/>
      <c r="AX23" s="3"/>
      <c r="AY23" s="3"/>
      <c r="AZ23" s="3"/>
      <c r="BA23" s="3"/>
      <c r="BB23" s="4"/>
    </row>
    <row r="24" spans="1:54" ht="0.6" customHeight="1">
      <c r="A24" s="14"/>
      <c r="B24" s="15"/>
      <c r="C24" s="15"/>
      <c r="D24" s="15"/>
      <c r="E24" s="15"/>
      <c r="F24" s="15"/>
      <c r="G24" s="15"/>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7"/>
      <c r="AK24" s="5"/>
      <c r="AL24" s="6"/>
      <c r="AM24" s="6"/>
      <c r="AN24" s="6"/>
      <c r="AO24" s="6"/>
      <c r="AP24" s="6"/>
      <c r="AQ24" s="6"/>
      <c r="AR24" s="6"/>
      <c r="AS24" s="6"/>
      <c r="AT24" s="6"/>
      <c r="AU24" s="6"/>
      <c r="AV24" s="6"/>
      <c r="AW24" s="6"/>
      <c r="AX24" s="6"/>
      <c r="AY24" s="6"/>
      <c r="AZ24" s="6"/>
      <c r="BA24" s="6"/>
      <c r="BB24" s="7"/>
    </row>
    <row r="25" spans="1:54" ht="10.35" customHeight="1"/>
    <row r="26" spans="1:54" ht="20.100000000000001" customHeight="1">
      <c r="A26" s="18" t="s">
        <v>51</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20"/>
    </row>
    <row r="27" spans="1:54" ht="42" customHeight="1">
      <c r="A27" s="104" t="s">
        <v>52</v>
      </c>
      <c r="B27" s="105"/>
      <c r="C27" s="104" t="s">
        <v>53</v>
      </c>
      <c r="D27" s="106"/>
      <c r="E27" s="106"/>
      <c r="F27" s="106"/>
      <c r="G27" s="106"/>
      <c r="H27" s="106"/>
      <c r="I27" s="106"/>
      <c r="J27" s="106"/>
      <c r="K27" s="105"/>
      <c r="L27" s="104" t="s">
        <v>54</v>
      </c>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5"/>
      <c r="AK27" s="107" t="s">
        <v>15</v>
      </c>
      <c r="AL27" s="108"/>
      <c r="AM27" s="108" t="s">
        <v>16</v>
      </c>
      <c r="AN27" s="108"/>
      <c r="AO27" s="108" t="s">
        <v>17</v>
      </c>
      <c r="AP27" s="108"/>
      <c r="AQ27" s="108" t="s">
        <v>18</v>
      </c>
      <c r="AR27" s="108"/>
      <c r="AS27" s="108" t="s">
        <v>19</v>
      </c>
      <c r="AT27" s="108"/>
      <c r="AU27" s="108" t="s">
        <v>20</v>
      </c>
      <c r="AV27" s="108"/>
      <c r="AW27" s="108" t="s">
        <v>21</v>
      </c>
      <c r="AX27" s="108"/>
      <c r="AY27" s="108" t="s">
        <v>22</v>
      </c>
      <c r="AZ27" s="108"/>
      <c r="BA27" s="108" t="s">
        <v>23</v>
      </c>
      <c r="BB27" s="109"/>
    </row>
    <row r="28" spans="1:54" ht="21" customHeight="1">
      <c r="A28" s="110">
        <v>1</v>
      </c>
      <c r="B28" s="111"/>
      <c r="C28" s="114">
        <v>45931</v>
      </c>
      <c r="D28" s="114"/>
      <c r="E28" s="114"/>
      <c r="F28" s="114"/>
      <c r="G28" s="13" t="s">
        <v>55</v>
      </c>
      <c r="H28" s="114">
        <v>46234</v>
      </c>
      <c r="I28" s="114"/>
      <c r="J28" s="114"/>
      <c r="K28" s="114"/>
      <c r="L28" s="115" t="s">
        <v>56</v>
      </c>
      <c r="M28" s="116"/>
      <c r="N28" s="116"/>
      <c r="O28" s="116"/>
      <c r="P28" s="117" t="s">
        <v>57</v>
      </c>
      <c r="Q28" s="117"/>
      <c r="R28" s="117"/>
      <c r="S28" s="117"/>
      <c r="T28" s="117"/>
      <c r="U28" s="117"/>
      <c r="V28" s="117"/>
      <c r="W28" s="117"/>
      <c r="X28" s="117"/>
      <c r="Y28" s="117"/>
      <c r="Z28" s="117"/>
      <c r="AA28" s="117"/>
      <c r="AB28" s="117"/>
      <c r="AC28" s="117"/>
      <c r="AD28" s="117"/>
      <c r="AE28" s="117"/>
      <c r="AF28" s="117"/>
      <c r="AG28" s="117"/>
      <c r="AH28" s="117"/>
      <c r="AI28" s="117"/>
      <c r="AJ28" s="118"/>
      <c r="AK28" s="119" t="s">
        <v>27</v>
      </c>
      <c r="AL28" s="120"/>
      <c r="AM28" s="123" t="s">
        <v>27</v>
      </c>
      <c r="AN28" s="120"/>
      <c r="AO28" s="123" t="s">
        <v>27</v>
      </c>
      <c r="AP28" s="120"/>
      <c r="AQ28" s="123" t="s">
        <v>27</v>
      </c>
      <c r="AR28" s="120"/>
      <c r="AS28" s="123" t="s">
        <v>28</v>
      </c>
      <c r="AT28" s="120"/>
      <c r="AU28" s="123" t="s">
        <v>28</v>
      </c>
      <c r="AV28" s="120"/>
      <c r="AW28" s="123" t="s">
        <v>28</v>
      </c>
      <c r="AX28" s="120"/>
      <c r="AY28" s="123" t="s">
        <v>27</v>
      </c>
      <c r="AZ28" s="120"/>
      <c r="BA28" s="125" t="s">
        <v>28</v>
      </c>
      <c r="BB28" s="126"/>
    </row>
    <row r="29" spans="1:54" ht="21" customHeight="1">
      <c r="A29" s="112"/>
      <c r="B29" s="113"/>
      <c r="C29" s="129" t="str">
        <f t="shared" ref="C29" ca="1" si="0">IF(H28="現在",IF(DATEDIF(C28,TODAY(),"YM")+1=12,DATEDIF(C28,TODAY(),"Y")+1&amp;"年",DATEDIF(C28,TODAY(),"Y")&amp;"年"&amp;DATEDIF(C28,TODAY(),"YM")+1&amp;"ヶ月"),IF(DATEDIF(C28,H28,"YM")+1=12,DATEDIF(C28,H28,"Y")+1&amp;"年",DATEDIF(C28,H28,"Y")&amp;"年"&amp;DATEDIF(C28,H28,"YM")+1&amp;"ヶ月"))</f>
        <v>0年10ヶ月</v>
      </c>
      <c r="D29" s="129"/>
      <c r="E29" s="129"/>
      <c r="F29" s="129"/>
      <c r="G29" s="129"/>
      <c r="H29" s="129"/>
      <c r="I29" s="129"/>
      <c r="J29" s="129"/>
      <c r="K29" s="130"/>
      <c r="L29" s="115" t="s">
        <v>58</v>
      </c>
      <c r="M29" s="116"/>
      <c r="N29" s="116"/>
      <c r="O29" s="116"/>
      <c r="P29" s="131" t="s">
        <v>59</v>
      </c>
      <c r="Q29" s="131"/>
      <c r="R29" s="131"/>
      <c r="S29" s="131"/>
      <c r="T29" s="131"/>
      <c r="U29" s="131"/>
      <c r="V29" s="131"/>
      <c r="W29" s="131"/>
      <c r="X29" s="131"/>
      <c r="Y29" s="131"/>
      <c r="Z29" s="131"/>
      <c r="AA29" s="131"/>
      <c r="AB29" s="132"/>
      <c r="AC29" s="115" t="s">
        <v>60</v>
      </c>
      <c r="AD29" s="116"/>
      <c r="AE29" s="116"/>
      <c r="AF29" s="116"/>
      <c r="AG29" s="133" t="s">
        <v>61</v>
      </c>
      <c r="AH29" s="133"/>
      <c r="AI29" s="133"/>
      <c r="AJ29" s="134"/>
      <c r="AK29" s="121"/>
      <c r="AL29" s="122"/>
      <c r="AM29" s="124"/>
      <c r="AN29" s="122"/>
      <c r="AO29" s="124"/>
      <c r="AP29" s="122"/>
      <c r="AQ29" s="124"/>
      <c r="AR29" s="122"/>
      <c r="AS29" s="124"/>
      <c r="AT29" s="122"/>
      <c r="AU29" s="124"/>
      <c r="AV29" s="122"/>
      <c r="AW29" s="124"/>
      <c r="AX29" s="122"/>
      <c r="AY29" s="124"/>
      <c r="AZ29" s="122"/>
      <c r="BA29" s="127"/>
      <c r="BB29" s="128"/>
    </row>
    <row r="30" spans="1:54" ht="21" customHeight="1">
      <c r="A30" s="112"/>
      <c r="B30" s="113"/>
      <c r="C30" s="135" t="s">
        <v>62</v>
      </c>
      <c r="D30" s="135"/>
      <c r="E30" s="135"/>
      <c r="F30" s="135"/>
      <c r="G30" s="135"/>
      <c r="H30" s="135"/>
      <c r="I30" s="135"/>
      <c r="J30" s="135"/>
      <c r="K30" s="135"/>
      <c r="L30" s="136" t="s">
        <v>63</v>
      </c>
      <c r="M30" s="137"/>
      <c r="N30" s="137"/>
      <c r="O30" s="137"/>
      <c r="P30" s="140" t="s">
        <v>64</v>
      </c>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1"/>
    </row>
    <row r="31" spans="1:54" ht="22.5" customHeight="1">
      <c r="A31" s="112"/>
      <c r="B31" s="113"/>
      <c r="C31" s="142" t="s">
        <v>65</v>
      </c>
      <c r="D31" s="142"/>
      <c r="E31" s="142"/>
      <c r="F31" s="142"/>
      <c r="G31" s="142"/>
      <c r="H31" s="142"/>
      <c r="I31" s="142"/>
      <c r="J31" s="142"/>
      <c r="K31" s="143"/>
      <c r="L31" s="138"/>
      <c r="M31" s="139"/>
      <c r="N31" s="139"/>
      <c r="O31" s="139"/>
      <c r="P31" s="142"/>
      <c r="Q31" s="142"/>
      <c r="R31" s="142"/>
      <c r="S31" s="142"/>
      <c r="T31" s="142"/>
      <c r="U31" s="142"/>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c r="AY31" s="142"/>
      <c r="AZ31" s="142"/>
      <c r="BA31" s="142"/>
      <c r="BB31" s="143"/>
    </row>
    <row r="32" spans="1:54" ht="22.5" customHeight="1">
      <c r="A32" s="112"/>
      <c r="B32" s="113"/>
      <c r="C32" s="142"/>
      <c r="D32" s="142"/>
      <c r="E32" s="142"/>
      <c r="F32" s="142"/>
      <c r="G32" s="142"/>
      <c r="H32" s="142"/>
      <c r="I32" s="142"/>
      <c r="J32" s="142"/>
      <c r="K32" s="143"/>
      <c r="L32" s="138"/>
      <c r="M32" s="139"/>
      <c r="N32" s="139"/>
      <c r="O32" s="139"/>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3"/>
    </row>
    <row r="33" spans="1:54" ht="22.5" customHeight="1">
      <c r="A33" s="112"/>
      <c r="B33" s="113"/>
      <c r="C33" s="142"/>
      <c r="D33" s="142"/>
      <c r="E33" s="142"/>
      <c r="F33" s="142"/>
      <c r="G33" s="142"/>
      <c r="H33" s="142"/>
      <c r="I33" s="142"/>
      <c r="J33" s="142"/>
      <c r="K33" s="143"/>
      <c r="L33" s="138"/>
      <c r="M33" s="139"/>
      <c r="N33" s="139"/>
      <c r="O33" s="139"/>
      <c r="P33" s="142"/>
      <c r="Q33" s="142"/>
      <c r="R33" s="142"/>
      <c r="S33" s="142"/>
      <c r="T33" s="142"/>
      <c r="U33" s="142"/>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3"/>
    </row>
    <row r="34" spans="1:54" ht="22.5" customHeight="1">
      <c r="A34" s="112"/>
      <c r="B34" s="113"/>
      <c r="C34" s="142"/>
      <c r="D34" s="142"/>
      <c r="E34" s="142"/>
      <c r="F34" s="142"/>
      <c r="G34" s="142"/>
      <c r="H34" s="142"/>
      <c r="I34" s="142"/>
      <c r="J34" s="142"/>
      <c r="K34" s="143"/>
      <c r="L34" s="138"/>
      <c r="M34" s="139"/>
      <c r="N34" s="139"/>
      <c r="O34" s="139"/>
      <c r="P34" s="142"/>
      <c r="Q34" s="142"/>
      <c r="R34" s="142"/>
      <c r="S34" s="142"/>
      <c r="T34" s="142"/>
      <c r="U34" s="142"/>
      <c r="V34" s="142"/>
      <c r="W34" s="142"/>
      <c r="X34" s="142"/>
      <c r="Y34" s="142"/>
      <c r="Z34" s="142"/>
      <c r="AA34" s="142"/>
      <c r="AB34" s="142"/>
      <c r="AC34" s="142"/>
      <c r="AD34" s="142"/>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3"/>
    </row>
    <row r="35" spans="1:54" ht="22.5" customHeight="1">
      <c r="A35" s="112"/>
      <c r="B35" s="113"/>
      <c r="C35" s="142"/>
      <c r="D35" s="142"/>
      <c r="E35" s="142"/>
      <c r="F35" s="142"/>
      <c r="G35" s="142"/>
      <c r="H35" s="142"/>
      <c r="I35" s="142"/>
      <c r="J35" s="142"/>
      <c r="K35" s="143"/>
      <c r="L35" s="138"/>
      <c r="M35" s="139"/>
      <c r="N35" s="139"/>
      <c r="O35" s="139"/>
      <c r="P35" s="142"/>
      <c r="Q35" s="142"/>
      <c r="R35" s="142"/>
      <c r="S35" s="142"/>
      <c r="T35" s="142"/>
      <c r="U35" s="142"/>
      <c r="V35" s="142"/>
      <c r="W35" s="142"/>
      <c r="X35" s="142"/>
      <c r="Y35" s="142"/>
      <c r="Z35" s="142"/>
      <c r="AA35" s="142"/>
      <c r="AB35" s="142"/>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c r="BB35" s="143"/>
    </row>
    <row r="36" spans="1:54" ht="22.5" customHeight="1">
      <c r="A36" s="112"/>
      <c r="B36" s="113"/>
      <c r="C36" s="142"/>
      <c r="D36" s="142"/>
      <c r="E36" s="142"/>
      <c r="F36" s="142"/>
      <c r="G36" s="142"/>
      <c r="H36" s="142"/>
      <c r="I36" s="142"/>
      <c r="J36" s="142"/>
      <c r="K36" s="143"/>
      <c r="L36" s="138"/>
      <c r="M36" s="139"/>
      <c r="N36" s="139"/>
      <c r="O36" s="139"/>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3"/>
    </row>
    <row r="37" spans="1:54" ht="22.5" customHeight="1">
      <c r="A37" s="112"/>
      <c r="B37" s="113"/>
      <c r="C37" s="142"/>
      <c r="D37" s="142"/>
      <c r="E37" s="142"/>
      <c r="F37" s="142"/>
      <c r="G37" s="142"/>
      <c r="H37" s="142"/>
      <c r="I37" s="142"/>
      <c r="J37" s="142"/>
      <c r="K37" s="143"/>
      <c r="L37" s="138"/>
      <c r="M37" s="139"/>
      <c r="N37" s="139"/>
      <c r="O37" s="139"/>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3"/>
    </row>
    <row r="38" spans="1:54" ht="22.5" customHeight="1">
      <c r="A38" s="112"/>
      <c r="B38" s="113"/>
      <c r="C38" s="144"/>
      <c r="D38" s="144"/>
      <c r="E38" s="144"/>
      <c r="F38" s="144"/>
      <c r="G38" s="144"/>
      <c r="H38" s="144"/>
      <c r="I38" s="144"/>
      <c r="J38" s="144"/>
      <c r="K38" s="145"/>
      <c r="L38" s="138"/>
      <c r="M38" s="139"/>
      <c r="N38" s="139"/>
      <c r="O38" s="139"/>
      <c r="P38" s="144"/>
      <c r="Q38" s="144"/>
      <c r="R38" s="144"/>
      <c r="S38" s="144"/>
      <c r="T38" s="144"/>
      <c r="U38" s="144"/>
      <c r="V38" s="144"/>
      <c r="W38" s="144"/>
      <c r="X38" s="144"/>
      <c r="Y38" s="144"/>
      <c r="Z38" s="144"/>
      <c r="AA38" s="144"/>
      <c r="AB38" s="144"/>
      <c r="AC38" s="144"/>
      <c r="AD38" s="144"/>
      <c r="AE38" s="144"/>
      <c r="AF38" s="144"/>
      <c r="AG38" s="144"/>
      <c r="AH38" s="144"/>
      <c r="AI38" s="144"/>
      <c r="AJ38" s="144"/>
      <c r="AK38" s="144"/>
      <c r="AL38" s="144"/>
      <c r="AM38" s="144"/>
      <c r="AN38" s="144"/>
      <c r="AO38" s="144"/>
      <c r="AP38" s="144"/>
      <c r="AQ38" s="144"/>
      <c r="AR38" s="144"/>
      <c r="AS38" s="144"/>
      <c r="AT38" s="144"/>
      <c r="AU38" s="144"/>
      <c r="AV38" s="144"/>
      <c r="AW38" s="144"/>
      <c r="AX38" s="144"/>
      <c r="AY38" s="144"/>
      <c r="AZ38" s="144"/>
      <c r="BA38" s="144"/>
      <c r="BB38" s="145"/>
    </row>
    <row r="39" spans="1:54" ht="42" customHeight="1">
      <c r="A39" s="104" t="s">
        <v>52</v>
      </c>
      <c r="B39" s="105"/>
      <c r="C39" s="104" t="s">
        <v>53</v>
      </c>
      <c r="D39" s="106"/>
      <c r="E39" s="106"/>
      <c r="F39" s="106"/>
      <c r="G39" s="106"/>
      <c r="H39" s="106"/>
      <c r="I39" s="106"/>
      <c r="J39" s="106"/>
      <c r="K39" s="105"/>
      <c r="L39" s="104" t="s">
        <v>54</v>
      </c>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5"/>
      <c r="AK39" s="107" t="s">
        <v>15</v>
      </c>
      <c r="AL39" s="108"/>
      <c r="AM39" s="108" t="s">
        <v>16</v>
      </c>
      <c r="AN39" s="108"/>
      <c r="AO39" s="108" t="s">
        <v>17</v>
      </c>
      <c r="AP39" s="108"/>
      <c r="AQ39" s="108" t="s">
        <v>18</v>
      </c>
      <c r="AR39" s="108"/>
      <c r="AS39" s="108" t="s">
        <v>19</v>
      </c>
      <c r="AT39" s="108"/>
      <c r="AU39" s="108" t="s">
        <v>20</v>
      </c>
      <c r="AV39" s="108"/>
      <c r="AW39" s="108" t="s">
        <v>21</v>
      </c>
      <c r="AX39" s="108"/>
      <c r="AY39" s="108" t="s">
        <v>22</v>
      </c>
      <c r="AZ39" s="108"/>
      <c r="BA39" s="108" t="s">
        <v>23</v>
      </c>
      <c r="BB39" s="109"/>
    </row>
    <row r="40" spans="1:54" ht="21" customHeight="1">
      <c r="A40" s="110">
        <v>2</v>
      </c>
      <c r="B40" s="111"/>
      <c r="C40" s="114">
        <v>45839</v>
      </c>
      <c r="D40" s="114"/>
      <c r="E40" s="114"/>
      <c r="F40" s="114"/>
      <c r="G40" s="13" t="s">
        <v>55</v>
      </c>
      <c r="H40" s="114">
        <v>45901</v>
      </c>
      <c r="I40" s="114"/>
      <c r="J40" s="114"/>
      <c r="K40" s="114"/>
      <c r="L40" s="115" t="s">
        <v>56</v>
      </c>
      <c r="M40" s="116"/>
      <c r="N40" s="116"/>
      <c r="O40" s="116"/>
      <c r="P40" s="117" t="s">
        <v>66</v>
      </c>
      <c r="Q40" s="117"/>
      <c r="R40" s="117"/>
      <c r="S40" s="117"/>
      <c r="T40" s="117"/>
      <c r="U40" s="117"/>
      <c r="V40" s="117"/>
      <c r="W40" s="117"/>
      <c r="X40" s="117"/>
      <c r="Y40" s="117"/>
      <c r="Z40" s="117"/>
      <c r="AA40" s="117"/>
      <c r="AB40" s="117"/>
      <c r="AC40" s="117"/>
      <c r="AD40" s="117"/>
      <c r="AE40" s="117"/>
      <c r="AF40" s="117"/>
      <c r="AG40" s="117"/>
      <c r="AH40" s="117"/>
      <c r="AI40" s="117"/>
      <c r="AJ40" s="118"/>
      <c r="AK40" s="119" t="s">
        <v>27</v>
      </c>
      <c r="AL40" s="120"/>
      <c r="AM40" s="123" t="s">
        <v>27</v>
      </c>
      <c r="AN40" s="120"/>
      <c r="AO40" s="123" t="s">
        <v>27</v>
      </c>
      <c r="AP40" s="120"/>
      <c r="AQ40" s="123" t="s">
        <v>27</v>
      </c>
      <c r="AR40" s="120"/>
      <c r="AS40" s="123" t="s">
        <v>28</v>
      </c>
      <c r="AT40" s="120"/>
      <c r="AU40" s="123" t="s">
        <v>27</v>
      </c>
      <c r="AV40" s="120"/>
      <c r="AW40" s="123" t="s">
        <v>27</v>
      </c>
      <c r="AX40" s="120"/>
      <c r="AY40" s="123" t="s">
        <v>27</v>
      </c>
      <c r="AZ40" s="120"/>
      <c r="BA40" s="125" t="s">
        <v>27</v>
      </c>
      <c r="BB40" s="126"/>
    </row>
    <row r="41" spans="1:54" ht="21" customHeight="1">
      <c r="A41" s="112"/>
      <c r="B41" s="113"/>
      <c r="C41" s="129" t="str">
        <f t="shared" ref="C41" ca="1" si="1">IF(H40="現在",IF(DATEDIF(C40,TODAY(),"YM")+1=12,DATEDIF(C40,TODAY(),"Y")+1&amp;"年",DATEDIF(C40,TODAY(),"Y")&amp;"年"&amp;DATEDIF(C40,TODAY(),"YM")+1&amp;"ヶ月"),IF(DATEDIF(C40,H40,"YM")+1=12,DATEDIF(C40,H40,"Y")+1&amp;"年",DATEDIF(C40,H40,"Y")&amp;"年"&amp;DATEDIF(C40,H40,"YM")+1&amp;"ヶ月"))</f>
        <v>0年3ヶ月</v>
      </c>
      <c r="D41" s="129"/>
      <c r="E41" s="129"/>
      <c r="F41" s="129"/>
      <c r="G41" s="129"/>
      <c r="H41" s="129"/>
      <c r="I41" s="129"/>
      <c r="J41" s="129"/>
      <c r="K41" s="130"/>
      <c r="L41" s="115" t="s">
        <v>58</v>
      </c>
      <c r="M41" s="116"/>
      <c r="N41" s="116"/>
      <c r="O41" s="116"/>
      <c r="P41" s="131" t="s">
        <v>59</v>
      </c>
      <c r="Q41" s="131"/>
      <c r="R41" s="131"/>
      <c r="S41" s="131"/>
      <c r="T41" s="131"/>
      <c r="U41" s="131"/>
      <c r="V41" s="131"/>
      <c r="W41" s="131"/>
      <c r="X41" s="131"/>
      <c r="Y41" s="131"/>
      <c r="Z41" s="131"/>
      <c r="AA41" s="131"/>
      <c r="AB41" s="132"/>
      <c r="AC41" s="115" t="s">
        <v>60</v>
      </c>
      <c r="AD41" s="116"/>
      <c r="AE41" s="116"/>
      <c r="AF41" s="116"/>
      <c r="AG41" s="133" t="s">
        <v>67</v>
      </c>
      <c r="AH41" s="133"/>
      <c r="AI41" s="133"/>
      <c r="AJ41" s="134"/>
      <c r="AK41" s="121"/>
      <c r="AL41" s="122"/>
      <c r="AM41" s="124"/>
      <c r="AN41" s="122"/>
      <c r="AO41" s="124"/>
      <c r="AP41" s="122"/>
      <c r="AQ41" s="124"/>
      <c r="AR41" s="122"/>
      <c r="AS41" s="124"/>
      <c r="AT41" s="122"/>
      <c r="AU41" s="124"/>
      <c r="AV41" s="122"/>
      <c r="AW41" s="124"/>
      <c r="AX41" s="122"/>
      <c r="AY41" s="124"/>
      <c r="AZ41" s="122"/>
      <c r="BA41" s="127"/>
      <c r="BB41" s="128"/>
    </row>
    <row r="42" spans="1:54" ht="21" customHeight="1">
      <c r="A42" s="112"/>
      <c r="B42" s="113"/>
      <c r="C42" s="135" t="s">
        <v>62</v>
      </c>
      <c r="D42" s="135"/>
      <c r="E42" s="135"/>
      <c r="F42" s="135"/>
      <c r="G42" s="135"/>
      <c r="H42" s="135"/>
      <c r="I42" s="135"/>
      <c r="J42" s="135"/>
      <c r="K42" s="135"/>
      <c r="L42" s="136" t="s">
        <v>63</v>
      </c>
      <c r="M42" s="137"/>
      <c r="N42" s="137"/>
      <c r="O42" s="137"/>
      <c r="P42" s="140" t="s">
        <v>68</v>
      </c>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1"/>
    </row>
    <row r="43" spans="1:54" ht="20.100000000000001" customHeight="1">
      <c r="A43" s="112"/>
      <c r="B43" s="113"/>
      <c r="C43" s="142" t="s">
        <v>69</v>
      </c>
      <c r="D43" s="142"/>
      <c r="E43" s="142"/>
      <c r="F43" s="142"/>
      <c r="G43" s="142"/>
      <c r="H43" s="142"/>
      <c r="I43" s="142"/>
      <c r="J43" s="142"/>
      <c r="K43" s="143"/>
      <c r="L43" s="138"/>
      <c r="M43" s="139"/>
      <c r="N43" s="139"/>
      <c r="O43" s="139"/>
      <c r="P43" s="142"/>
      <c r="Q43" s="142"/>
      <c r="R43" s="142"/>
      <c r="S43" s="142"/>
      <c r="T43" s="142"/>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c r="AY43" s="142"/>
      <c r="AZ43" s="142"/>
      <c r="BA43" s="142"/>
      <c r="BB43" s="143"/>
    </row>
    <row r="44" spans="1:54" ht="20.100000000000001" customHeight="1">
      <c r="A44" s="112"/>
      <c r="B44" s="113"/>
      <c r="C44" s="142"/>
      <c r="D44" s="142"/>
      <c r="E44" s="142"/>
      <c r="F44" s="142"/>
      <c r="G44" s="142"/>
      <c r="H44" s="142"/>
      <c r="I44" s="142"/>
      <c r="J44" s="142"/>
      <c r="K44" s="143"/>
      <c r="L44" s="138"/>
      <c r="M44" s="139"/>
      <c r="N44" s="139"/>
      <c r="O44" s="139"/>
      <c r="P44" s="142"/>
      <c r="Q44" s="142"/>
      <c r="R44" s="142"/>
      <c r="S44" s="142"/>
      <c r="T44" s="142"/>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c r="AY44" s="142"/>
      <c r="AZ44" s="142"/>
      <c r="BA44" s="142"/>
      <c r="BB44" s="143"/>
    </row>
    <row r="45" spans="1:54" ht="20.100000000000001" customHeight="1">
      <c r="A45" s="112"/>
      <c r="B45" s="113"/>
      <c r="C45" s="142"/>
      <c r="D45" s="142"/>
      <c r="E45" s="142"/>
      <c r="F45" s="142"/>
      <c r="G45" s="142"/>
      <c r="H45" s="142"/>
      <c r="I45" s="142"/>
      <c r="J45" s="142"/>
      <c r="K45" s="143"/>
      <c r="L45" s="138"/>
      <c r="M45" s="139"/>
      <c r="N45" s="139"/>
      <c r="O45" s="139"/>
      <c r="P45" s="142"/>
      <c r="Q45" s="142"/>
      <c r="R45" s="142"/>
      <c r="S45" s="142"/>
      <c r="T45" s="142"/>
      <c r="U45" s="142"/>
      <c r="V45" s="142"/>
      <c r="W45" s="142"/>
      <c r="X45" s="142"/>
      <c r="Y45" s="142"/>
      <c r="Z45" s="142"/>
      <c r="AA45" s="142"/>
      <c r="AB45" s="142"/>
      <c r="AC45" s="142"/>
      <c r="AD45" s="142"/>
      <c r="AE45" s="142"/>
      <c r="AF45" s="142"/>
      <c r="AG45" s="142"/>
      <c r="AH45" s="142"/>
      <c r="AI45" s="142"/>
      <c r="AJ45" s="142"/>
      <c r="AK45" s="142"/>
      <c r="AL45" s="142"/>
      <c r="AM45" s="142"/>
      <c r="AN45" s="142"/>
      <c r="AO45" s="142"/>
      <c r="AP45" s="142"/>
      <c r="AQ45" s="142"/>
      <c r="AR45" s="142"/>
      <c r="AS45" s="142"/>
      <c r="AT45" s="142"/>
      <c r="AU45" s="142"/>
      <c r="AV45" s="142"/>
      <c r="AW45" s="142"/>
      <c r="AX45" s="142"/>
      <c r="AY45" s="142"/>
      <c r="AZ45" s="142"/>
      <c r="BA45" s="142"/>
      <c r="BB45" s="143"/>
    </row>
    <row r="46" spans="1:54" ht="20.100000000000001" customHeight="1">
      <c r="A46" s="112"/>
      <c r="B46" s="113"/>
      <c r="C46" s="142"/>
      <c r="D46" s="142"/>
      <c r="E46" s="142"/>
      <c r="F46" s="142"/>
      <c r="G46" s="142"/>
      <c r="H46" s="142"/>
      <c r="I46" s="142"/>
      <c r="J46" s="142"/>
      <c r="K46" s="143"/>
      <c r="L46" s="138"/>
      <c r="M46" s="139"/>
      <c r="N46" s="139"/>
      <c r="O46" s="139"/>
      <c r="P46" s="142"/>
      <c r="Q46" s="142"/>
      <c r="R46" s="142"/>
      <c r="S46" s="142"/>
      <c r="T46" s="142"/>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c r="AY46" s="142"/>
      <c r="AZ46" s="142"/>
      <c r="BA46" s="142"/>
      <c r="BB46" s="143"/>
    </row>
    <row r="47" spans="1:54" ht="20.100000000000001" customHeight="1">
      <c r="A47" s="112"/>
      <c r="B47" s="113"/>
      <c r="C47" s="142"/>
      <c r="D47" s="142"/>
      <c r="E47" s="142"/>
      <c r="F47" s="142"/>
      <c r="G47" s="142"/>
      <c r="H47" s="142"/>
      <c r="I47" s="142"/>
      <c r="J47" s="142"/>
      <c r="K47" s="143"/>
      <c r="L47" s="138"/>
      <c r="M47" s="139"/>
      <c r="N47" s="139"/>
      <c r="O47" s="139"/>
      <c r="P47" s="142"/>
      <c r="Q47" s="142"/>
      <c r="R47" s="142"/>
      <c r="S47" s="142"/>
      <c r="T47" s="142"/>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c r="AY47" s="142"/>
      <c r="AZ47" s="142"/>
      <c r="BA47" s="142"/>
      <c r="BB47" s="143"/>
    </row>
    <row r="48" spans="1:54" ht="20.100000000000001" customHeight="1">
      <c r="A48" s="112"/>
      <c r="B48" s="113"/>
      <c r="C48" s="142"/>
      <c r="D48" s="142"/>
      <c r="E48" s="142"/>
      <c r="F48" s="142"/>
      <c r="G48" s="142"/>
      <c r="H48" s="142"/>
      <c r="I48" s="142"/>
      <c r="J48" s="142"/>
      <c r="K48" s="143"/>
      <c r="L48" s="138"/>
      <c r="M48" s="139"/>
      <c r="N48" s="139"/>
      <c r="O48" s="139"/>
      <c r="P48" s="142"/>
      <c r="Q48" s="142"/>
      <c r="R48" s="142"/>
      <c r="S48" s="142"/>
      <c r="T48" s="142"/>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c r="AY48" s="142"/>
      <c r="AZ48" s="142"/>
      <c r="BA48" s="142"/>
      <c r="BB48" s="143"/>
    </row>
    <row r="49" spans="1:54" ht="20.100000000000001" customHeight="1">
      <c r="A49" s="112"/>
      <c r="B49" s="113"/>
      <c r="C49" s="142"/>
      <c r="D49" s="142"/>
      <c r="E49" s="142"/>
      <c r="F49" s="142"/>
      <c r="G49" s="142"/>
      <c r="H49" s="142"/>
      <c r="I49" s="142"/>
      <c r="J49" s="142"/>
      <c r="K49" s="143"/>
      <c r="L49" s="138"/>
      <c r="M49" s="139"/>
      <c r="N49" s="139"/>
      <c r="O49" s="139"/>
      <c r="P49" s="142"/>
      <c r="Q49" s="142"/>
      <c r="R49" s="142"/>
      <c r="S49" s="142"/>
      <c r="T49" s="142"/>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c r="AY49" s="142"/>
      <c r="AZ49" s="142"/>
      <c r="BA49" s="142"/>
      <c r="BB49" s="143"/>
    </row>
    <row r="50" spans="1:54" ht="20.100000000000001" customHeight="1">
      <c r="A50" s="112"/>
      <c r="B50" s="113"/>
      <c r="C50" s="144"/>
      <c r="D50" s="144"/>
      <c r="E50" s="144"/>
      <c r="F50" s="144"/>
      <c r="G50" s="144"/>
      <c r="H50" s="144"/>
      <c r="I50" s="144"/>
      <c r="J50" s="144"/>
      <c r="K50" s="145"/>
      <c r="L50" s="138"/>
      <c r="M50" s="139"/>
      <c r="N50" s="139"/>
      <c r="O50" s="139"/>
      <c r="P50" s="144"/>
      <c r="Q50" s="144"/>
      <c r="R50" s="144"/>
      <c r="S50" s="144"/>
      <c r="T50" s="144"/>
      <c r="U50" s="144"/>
      <c r="V50" s="144"/>
      <c r="W50" s="144"/>
      <c r="X50" s="144"/>
      <c r="Y50" s="144"/>
      <c r="Z50" s="144"/>
      <c r="AA50" s="144"/>
      <c r="AB50" s="144"/>
      <c r="AC50" s="144"/>
      <c r="AD50" s="144"/>
      <c r="AE50" s="144"/>
      <c r="AF50" s="144"/>
      <c r="AG50" s="144"/>
      <c r="AH50" s="144"/>
      <c r="AI50" s="144"/>
      <c r="AJ50" s="144"/>
      <c r="AK50" s="144"/>
      <c r="AL50" s="144"/>
      <c r="AM50" s="144"/>
      <c r="AN50" s="144"/>
      <c r="AO50" s="144"/>
      <c r="AP50" s="144"/>
      <c r="AQ50" s="144"/>
      <c r="AR50" s="144"/>
      <c r="AS50" s="144"/>
      <c r="AT50" s="144"/>
      <c r="AU50" s="144"/>
      <c r="AV50" s="144"/>
      <c r="AW50" s="144"/>
      <c r="AX50" s="144"/>
      <c r="AY50" s="144"/>
      <c r="AZ50" s="144"/>
      <c r="BA50" s="144"/>
      <c r="BB50" s="145"/>
    </row>
    <row r="51" spans="1:54" ht="42" customHeight="1">
      <c r="A51" s="104" t="s">
        <v>52</v>
      </c>
      <c r="B51" s="105"/>
      <c r="C51" s="104" t="s">
        <v>53</v>
      </c>
      <c r="D51" s="106"/>
      <c r="E51" s="106"/>
      <c r="F51" s="106"/>
      <c r="G51" s="106"/>
      <c r="H51" s="106"/>
      <c r="I51" s="106"/>
      <c r="J51" s="106"/>
      <c r="K51" s="105"/>
      <c r="L51" s="104" t="s">
        <v>54</v>
      </c>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5"/>
      <c r="AK51" s="107" t="s">
        <v>15</v>
      </c>
      <c r="AL51" s="108"/>
      <c r="AM51" s="108" t="s">
        <v>16</v>
      </c>
      <c r="AN51" s="108"/>
      <c r="AO51" s="108" t="s">
        <v>17</v>
      </c>
      <c r="AP51" s="108"/>
      <c r="AQ51" s="108" t="s">
        <v>18</v>
      </c>
      <c r="AR51" s="108"/>
      <c r="AS51" s="108" t="s">
        <v>19</v>
      </c>
      <c r="AT51" s="108"/>
      <c r="AU51" s="108" t="s">
        <v>20</v>
      </c>
      <c r="AV51" s="108"/>
      <c r="AW51" s="108" t="s">
        <v>21</v>
      </c>
      <c r="AX51" s="108"/>
      <c r="AY51" s="108" t="s">
        <v>22</v>
      </c>
      <c r="AZ51" s="108"/>
      <c r="BA51" s="108" t="s">
        <v>23</v>
      </c>
      <c r="BB51" s="109"/>
    </row>
    <row r="52" spans="1:54" ht="21" customHeight="1">
      <c r="A52" s="110">
        <v>3</v>
      </c>
      <c r="B52" s="111"/>
      <c r="C52" s="148">
        <v>45627</v>
      </c>
      <c r="D52" s="114"/>
      <c r="E52" s="114"/>
      <c r="F52" s="114"/>
      <c r="G52" s="13" t="s">
        <v>55</v>
      </c>
      <c r="H52" s="114">
        <v>45777</v>
      </c>
      <c r="I52" s="114"/>
      <c r="J52" s="114"/>
      <c r="K52" s="149"/>
      <c r="L52" s="115" t="s">
        <v>56</v>
      </c>
      <c r="M52" s="116"/>
      <c r="N52" s="116"/>
      <c r="O52" s="116"/>
      <c r="P52" s="117" t="s">
        <v>70</v>
      </c>
      <c r="Q52" s="117"/>
      <c r="R52" s="117"/>
      <c r="S52" s="117"/>
      <c r="T52" s="117"/>
      <c r="U52" s="117"/>
      <c r="V52" s="117"/>
      <c r="W52" s="117"/>
      <c r="X52" s="117"/>
      <c r="Y52" s="117"/>
      <c r="Z52" s="117"/>
      <c r="AA52" s="117"/>
      <c r="AB52" s="117"/>
      <c r="AC52" s="117"/>
      <c r="AD52" s="117"/>
      <c r="AE52" s="117"/>
      <c r="AF52" s="117"/>
      <c r="AG52" s="117"/>
      <c r="AH52" s="117"/>
      <c r="AI52" s="117"/>
      <c r="AJ52" s="118"/>
      <c r="AK52" s="150" t="s">
        <v>27</v>
      </c>
      <c r="AL52" s="151"/>
      <c r="AM52" s="152" t="s">
        <v>27</v>
      </c>
      <c r="AN52" s="151"/>
      <c r="AO52" s="152" t="s">
        <v>28</v>
      </c>
      <c r="AP52" s="151"/>
      <c r="AQ52" s="152" t="s">
        <v>28</v>
      </c>
      <c r="AR52" s="151"/>
      <c r="AS52" s="152" t="s">
        <v>28</v>
      </c>
      <c r="AT52" s="151"/>
      <c r="AU52" s="152" t="s">
        <v>27</v>
      </c>
      <c r="AV52" s="151"/>
      <c r="AW52" s="152" t="s">
        <v>27</v>
      </c>
      <c r="AX52" s="151"/>
      <c r="AY52" s="152" t="s">
        <v>27</v>
      </c>
      <c r="AZ52" s="151"/>
      <c r="BA52" s="152" t="s">
        <v>27</v>
      </c>
      <c r="BB52" s="153"/>
    </row>
    <row r="53" spans="1:54" ht="21" customHeight="1">
      <c r="A53" s="112"/>
      <c r="B53" s="113"/>
      <c r="C53" s="154" t="str">
        <f t="shared" ref="C53" ca="1" si="2">IF(H52="現在",IF(DATEDIF(C52,TODAY(),"YM")+1=12,DATEDIF(C52,TODAY(),"Y")+1&amp;"年",DATEDIF(C52,TODAY(),"Y")&amp;"年"&amp;DATEDIF(C52,TODAY(),"YM")+1&amp;"ヶ月"),IF(DATEDIF(C52,H52,"YM")+1=12,DATEDIF(C52,H52,"Y")+1&amp;"年",DATEDIF(C52,H52,"Y")&amp;"年"&amp;DATEDIF(C52,H52,"YM")+1&amp;"ヶ月"))</f>
        <v>0年5ヶ月</v>
      </c>
      <c r="D53" s="129"/>
      <c r="E53" s="129"/>
      <c r="F53" s="129"/>
      <c r="G53" s="129"/>
      <c r="H53" s="129"/>
      <c r="I53" s="129"/>
      <c r="J53" s="129"/>
      <c r="K53" s="130"/>
      <c r="L53" s="115" t="s">
        <v>58</v>
      </c>
      <c r="M53" s="116"/>
      <c r="N53" s="116"/>
      <c r="O53" s="116"/>
      <c r="P53" s="131" t="s">
        <v>59</v>
      </c>
      <c r="Q53" s="131"/>
      <c r="R53" s="131"/>
      <c r="S53" s="131"/>
      <c r="T53" s="131"/>
      <c r="U53" s="131"/>
      <c r="V53" s="131"/>
      <c r="W53" s="131"/>
      <c r="X53" s="131"/>
      <c r="Y53" s="131"/>
      <c r="Z53" s="131"/>
      <c r="AA53" s="131"/>
      <c r="AB53" s="132"/>
      <c r="AC53" s="115" t="s">
        <v>60</v>
      </c>
      <c r="AD53" s="116"/>
      <c r="AE53" s="116"/>
      <c r="AF53" s="116"/>
      <c r="AG53" s="133" t="s">
        <v>71</v>
      </c>
      <c r="AH53" s="133"/>
      <c r="AI53" s="133"/>
      <c r="AJ53" s="134"/>
      <c r="AK53" s="121"/>
      <c r="AL53" s="122"/>
      <c r="AM53" s="124"/>
      <c r="AN53" s="122"/>
      <c r="AO53" s="124"/>
      <c r="AP53" s="122"/>
      <c r="AQ53" s="124"/>
      <c r="AR53" s="122"/>
      <c r="AS53" s="124"/>
      <c r="AT53" s="122"/>
      <c r="AU53" s="124"/>
      <c r="AV53" s="122"/>
      <c r="AW53" s="124"/>
      <c r="AX53" s="122"/>
      <c r="AY53" s="124"/>
      <c r="AZ53" s="122"/>
      <c r="BA53" s="124"/>
      <c r="BB53" s="128"/>
    </row>
    <row r="54" spans="1:54" ht="21" customHeight="1">
      <c r="A54" s="112"/>
      <c r="B54" s="113"/>
      <c r="C54" s="155" t="s">
        <v>62</v>
      </c>
      <c r="D54" s="156"/>
      <c r="E54" s="156"/>
      <c r="F54" s="156"/>
      <c r="G54" s="156"/>
      <c r="H54" s="156"/>
      <c r="I54" s="156"/>
      <c r="J54" s="156"/>
      <c r="K54" s="157"/>
      <c r="L54" s="136" t="s">
        <v>63</v>
      </c>
      <c r="M54" s="137"/>
      <c r="N54" s="137"/>
      <c r="O54" s="137"/>
      <c r="P54" s="140" t="s">
        <v>72</v>
      </c>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1"/>
    </row>
    <row r="55" spans="1:54" ht="25.5" customHeight="1">
      <c r="A55" s="112"/>
      <c r="B55" s="113"/>
      <c r="C55" s="160" t="s">
        <v>73</v>
      </c>
      <c r="D55" s="142"/>
      <c r="E55" s="142"/>
      <c r="F55" s="142"/>
      <c r="G55" s="142"/>
      <c r="H55" s="142"/>
      <c r="I55" s="142"/>
      <c r="J55" s="142"/>
      <c r="K55" s="143"/>
      <c r="L55" s="138"/>
      <c r="M55" s="139"/>
      <c r="N55" s="139"/>
      <c r="O55" s="139"/>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c r="AY55" s="142"/>
      <c r="AZ55" s="142"/>
      <c r="BA55" s="142"/>
      <c r="BB55" s="143"/>
    </row>
    <row r="56" spans="1:54" ht="25.5" customHeight="1">
      <c r="A56" s="112"/>
      <c r="B56" s="113"/>
      <c r="C56" s="160"/>
      <c r="D56" s="142"/>
      <c r="E56" s="142"/>
      <c r="F56" s="142"/>
      <c r="G56" s="142"/>
      <c r="H56" s="142"/>
      <c r="I56" s="142"/>
      <c r="J56" s="142"/>
      <c r="K56" s="143"/>
      <c r="L56" s="138"/>
      <c r="M56" s="139"/>
      <c r="N56" s="139"/>
      <c r="O56" s="139"/>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c r="AY56" s="142"/>
      <c r="AZ56" s="142"/>
      <c r="BA56" s="142"/>
      <c r="BB56" s="143"/>
    </row>
    <row r="57" spans="1:54" ht="25.5" customHeight="1">
      <c r="A57" s="112"/>
      <c r="B57" s="113"/>
      <c r="C57" s="160"/>
      <c r="D57" s="142"/>
      <c r="E57" s="142"/>
      <c r="F57" s="142"/>
      <c r="G57" s="142"/>
      <c r="H57" s="142"/>
      <c r="I57" s="142"/>
      <c r="J57" s="142"/>
      <c r="K57" s="143"/>
      <c r="L57" s="138"/>
      <c r="M57" s="139"/>
      <c r="N57" s="139"/>
      <c r="O57" s="139"/>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c r="AY57" s="142"/>
      <c r="AZ57" s="142"/>
      <c r="BA57" s="142"/>
      <c r="BB57" s="143"/>
    </row>
    <row r="58" spans="1:54" ht="25.5" customHeight="1">
      <c r="A58" s="112"/>
      <c r="B58" s="113"/>
      <c r="C58" s="160"/>
      <c r="D58" s="142"/>
      <c r="E58" s="142"/>
      <c r="F58" s="142"/>
      <c r="G58" s="142"/>
      <c r="H58" s="142"/>
      <c r="I58" s="142"/>
      <c r="J58" s="142"/>
      <c r="K58" s="143"/>
      <c r="L58" s="138"/>
      <c r="M58" s="139"/>
      <c r="N58" s="139"/>
      <c r="O58" s="139"/>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c r="AY58" s="142"/>
      <c r="AZ58" s="142"/>
      <c r="BA58" s="142"/>
      <c r="BB58" s="143"/>
    </row>
    <row r="59" spans="1:54" ht="25.5" customHeight="1">
      <c r="A59" s="112"/>
      <c r="B59" s="113"/>
      <c r="C59" s="160"/>
      <c r="D59" s="142"/>
      <c r="E59" s="142"/>
      <c r="F59" s="142"/>
      <c r="G59" s="142"/>
      <c r="H59" s="142"/>
      <c r="I59" s="142"/>
      <c r="J59" s="142"/>
      <c r="K59" s="143"/>
      <c r="L59" s="138"/>
      <c r="M59" s="139"/>
      <c r="N59" s="139"/>
      <c r="O59" s="139"/>
      <c r="P59" s="142"/>
      <c r="Q59" s="142"/>
      <c r="R59" s="142"/>
      <c r="S59" s="142"/>
      <c r="T59" s="142"/>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2"/>
      <c r="BA59" s="142"/>
      <c r="BB59" s="143"/>
    </row>
    <row r="60" spans="1:54" ht="25.5" customHeight="1">
      <c r="A60" s="112"/>
      <c r="B60" s="113"/>
      <c r="C60" s="160"/>
      <c r="D60" s="142"/>
      <c r="E60" s="142"/>
      <c r="F60" s="142"/>
      <c r="G60" s="142"/>
      <c r="H60" s="142"/>
      <c r="I60" s="142"/>
      <c r="J60" s="142"/>
      <c r="K60" s="143"/>
      <c r="L60" s="138"/>
      <c r="M60" s="139"/>
      <c r="N60" s="139"/>
      <c r="O60" s="139"/>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2"/>
      <c r="BA60" s="142"/>
      <c r="BB60" s="143"/>
    </row>
    <row r="61" spans="1:54" ht="25.5" customHeight="1">
      <c r="A61" s="112"/>
      <c r="B61" s="113"/>
      <c r="C61" s="160"/>
      <c r="D61" s="142"/>
      <c r="E61" s="142"/>
      <c r="F61" s="142"/>
      <c r="G61" s="142"/>
      <c r="H61" s="142"/>
      <c r="I61" s="142"/>
      <c r="J61" s="142"/>
      <c r="K61" s="143"/>
      <c r="L61" s="138"/>
      <c r="M61" s="139"/>
      <c r="N61" s="139"/>
      <c r="O61" s="139"/>
      <c r="P61" s="142"/>
      <c r="Q61" s="142"/>
      <c r="R61" s="142"/>
      <c r="S61" s="142"/>
      <c r="T61" s="142"/>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2"/>
      <c r="BA61" s="142"/>
      <c r="BB61" s="143"/>
    </row>
    <row r="62" spans="1:54" ht="25.5" customHeight="1">
      <c r="A62" s="146"/>
      <c r="B62" s="147"/>
      <c r="C62" s="161"/>
      <c r="D62" s="144"/>
      <c r="E62" s="144"/>
      <c r="F62" s="144"/>
      <c r="G62" s="144"/>
      <c r="H62" s="144"/>
      <c r="I62" s="144"/>
      <c r="J62" s="144"/>
      <c r="K62" s="145"/>
      <c r="L62" s="158"/>
      <c r="M62" s="159"/>
      <c r="N62" s="159"/>
      <c r="O62" s="159"/>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145"/>
    </row>
    <row r="63" spans="1:54" ht="42" customHeight="1">
      <c r="A63" s="104" t="s">
        <v>52</v>
      </c>
      <c r="B63" s="105"/>
      <c r="C63" s="104" t="s">
        <v>53</v>
      </c>
      <c r="D63" s="106"/>
      <c r="E63" s="106"/>
      <c r="F63" s="106"/>
      <c r="G63" s="106"/>
      <c r="H63" s="106"/>
      <c r="I63" s="106"/>
      <c r="J63" s="106"/>
      <c r="K63" s="105"/>
      <c r="L63" s="104" t="s">
        <v>54</v>
      </c>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5"/>
      <c r="AK63" s="107" t="s">
        <v>15</v>
      </c>
      <c r="AL63" s="108"/>
      <c r="AM63" s="108" t="s">
        <v>16</v>
      </c>
      <c r="AN63" s="108"/>
      <c r="AO63" s="108" t="s">
        <v>17</v>
      </c>
      <c r="AP63" s="108"/>
      <c r="AQ63" s="108" t="s">
        <v>18</v>
      </c>
      <c r="AR63" s="108"/>
      <c r="AS63" s="108" t="s">
        <v>19</v>
      </c>
      <c r="AT63" s="108"/>
      <c r="AU63" s="108" t="s">
        <v>20</v>
      </c>
      <c r="AV63" s="108"/>
      <c r="AW63" s="108" t="s">
        <v>21</v>
      </c>
      <c r="AX63" s="108"/>
      <c r="AY63" s="108" t="s">
        <v>22</v>
      </c>
      <c r="AZ63" s="108"/>
      <c r="BA63" s="108" t="s">
        <v>23</v>
      </c>
      <c r="BB63" s="109"/>
    </row>
    <row r="64" spans="1:54" ht="21" customHeight="1">
      <c r="A64" s="110">
        <v>4</v>
      </c>
      <c r="B64" s="111"/>
      <c r="C64" s="162">
        <v>45505</v>
      </c>
      <c r="D64" s="162"/>
      <c r="E64" s="162"/>
      <c r="F64" s="162"/>
      <c r="G64" s="12" t="s">
        <v>55</v>
      </c>
      <c r="H64" s="162">
        <v>45626</v>
      </c>
      <c r="I64" s="162"/>
      <c r="J64" s="162"/>
      <c r="K64" s="162"/>
      <c r="L64" s="115" t="s">
        <v>56</v>
      </c>
      <c r="M64" s="116"/>
      <c r="N64" s="116"/>
      <c r="O64" s="116"/>
      <c r="P64" s="16" t="s">
        <v>74</v>
      </c>
      <c r="Q64" s="16"/>
      <c r="R64" s="16"/>
      <c r="S64" s="16"/>
      <c r="T64" s="16"/>
      <c r="U64" s="16"/>
      <c r="V64" s="16"/>
      <c r="W64" s="16"/>
      <c r="X64" s="16"/>
      <c r="Y64" s="16"/>
      <c r="Z64" s="16"/>
      <c r="AA64" s="16"/>
      <c r="AB64" s="16"/>
      <c r="AC64" s="16"/>
      <c r="AD64" s="16"/>
      <c r="AE64" s="16"/>
      <c r="AF64" s="16"/>
      <c r="AG64" s="16"/>
      <c r="AH64" s="16"/>
      <c r="AI64" s="16"/>
      <c r="AJ64" s="17"/>
      <c r="AK64" s="163" t="s">
        <v>27</v>
      </c>
      <c r="AL64" s="164"/>
      <c r="AM64" s="167" t="s">
        <v>27</v>
      </c>
      <c r="AN64" s="164"/>
      <c r="AO64" s="167" t="s">
        <v>27</v>
      </c>
      <c r="AP64" s="164"/>
      <c r="AQ64" s="167" t="s">
        <v>28</v>
      </c>
      <c r="AR64" s="164"/>
      <c r="AS64" s="167" t="s">
        <v>27</v>
      </c>
      <c r="AT64" s="164"/>
      <c r="AU64" s="167" t="s">
        <v>28</v>
      </c>
      <c r="AV64" s="164"/>
      <c r="AW64" s="167" t="s">
        <v>28</v>
      </c>
      <c r="AX64" s="164"/>
      <c r="AY64" s="167" t="s">
        <v>27</v>
      </c>
      <c r="AZ64" s="164"/>
      <c r="BA64" s="169" t="s">
        <v>27</v>
      </c>
      <c r="BB64" s="170"/>
    </row>
    <row r="65" spans="1:54" ht="21" customHeight="1">
      <c r="A65" s="112"/>
      <c r="B65" s="113"/>
      <c r="C65" s="173" t="str">
        <f t="shared" ref="C65" ca="1" si="3">IF(H64="現在",IF(DATEDIF(C64,TODAY(),"YM")+1=12,DATEDIF(C64,TODAY(),"Y")+1&amp;"年",DATEDIF(C64,TODAY(),"Y")&amp;"年"&amp;DATEDIF(C64,TODAY(),"YM")+1&amp;"ヶ月"),IF(DATEDIF(C64,H64,"YM")+1=12,DATEDIF(C64,H64,"Y")+1&amp;"年",DATEDIF(C64,H64,"Y")&amp;"年"&amp;DATEDIF(C64,H64,"YM")+1&amp;"ヶ月"))</f>
        <v>0年4ヶ月</v>
      </c>
      <c r="D65" s="173"/>
      <c r="E65" s="173"/>
      <c r="F65" s="173"/>
      <c r="G65" s="173"/>
      <c r="H65" s="173"/>
      <c r="I65" s="173"/>
      <c r="J65" s="173"/>
      <c r="K65" s="174"/>
      <c r="L65" s="115" t="s">
        <v>58</v>
      </c>
      <c r="M65" s="116"/>
      <c r="N65" s="116"/>
      <c r="O65" s="116"/>
      <c r="P65" s="131" t="s">
        <v>59</v>
      </c>
      <c r="Q65" s="131"/>
      <c r="R65" s="131"/>
      <c r="S65" s="131"/>
      <c r="T65" s="131"/>
      <c r="U65" s="131"/>
      <c r="V65" s="131"/>
      <c r="W65" s="131"/>
      <c r="X65" s="131"/>
      <c r="Y65" s="131"/>
      <c r="Z65" s="131"/>
      <c r="AA65" s="131"/>
      <c r="AB65" s="132"/>
      <c r="AC65" s="115" t="s">
        <v>60</v>
      </c>
      <c r="AD65" s="116"/>
      <c r="AE65" s="116"/>
      <c r="AF65" s="116"/>
      <c r="AG65" s="175" t="s">
        <v>75</v>
      </c>
      <c r="AH65" s="175"/>
      <c r="AI65" s="175"/>
      <c r="AJ65" s="176"/>
      <c r="AK65" s="165"/>
      <c r="AL65" s="166"/>
      <c r="AM65" s="168"/>
      <c r="AN65" s="166"/>
      <c r="AO65" s="168"/>
      <c r="AP65" s="166"/>
      <c r="AQ65" s="168"/>
      <c r="AR65" s="166"/>
      <c r="AS65" s="168"/>
      <c r="AT65" s="166"/>
      <c r="AU65" s="168"/>
      <c r="AV65" s="166"/>
      <c r="AW65" s="168"/>
      <c r="AX65" s="166"/>
      <c r="AY65" s="168"/>
      <c r="AZ65" s="166"/>
      <c r="BA65" s="171"/>
      <c r="BB65" s="172"/>
    </row>
    <row r="66" spans="1:54" ht="21" customHeight="1">
      <c r="A66" s="112"/>
      <c r="B66" s="113"/>
      <c r="C66" s="135" t="s">
        <v>62</v>
      </c>
      <c r="D66" s="135"/>
      <c r="E66" s="135"/>
      <c r="F66" s="135"/>
      <c r="G66" s="135"/>
      <c r="H66" s="135"/>
      <c r="I66" s="135"/>
      <c r="J66" s="135"/>
      <c r="K66" s="135"/>
      <c r="L66" s="136" t="s">
        <v>63</v>
      </c>
      <c r="M66" s="137"/>
      <c r="N66" s="137"/>
      <c r="O66" s="137"/>
      <c r="P66" s="86" t="s">
        <v>76</v>
      </c>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7"/>
    </row>
    <row r="67" spans="1:54" ht="23.25" customHeight="1">
      <c r="A67" s="112"/>
      <c r="B67" s="113"/>
      <c r="C67" s="88" t="s">
        <v>77</v>
      </c>
      <c r="D67" s="88"/>
      <c r="E67" s="88"/>
      <c r="F67" s="88"/>
      <c r="G67" s="88"/>
      <c r="H67" s="88"/>
      <c r="I67" s="88"/>
      <c r="J67" s="88"/>
      <c r="K67" s="89"/>
      <c r="L67" s="138"/>
      <c r="M67" s="139"/>
      <c r="N67" s="139"/>
      <c r="O67" s="139"/>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9"/>
    </row>
    <row r="68" spans="1:54" ht="23.25" customHeight="1">
      <c r="A68" s="112"/>
      <c r="B68" s="113"/>
      <c r="C68" s="88"/>
      <c r="D68" s="88"/>
      <c r="E68" s="88"/>
      <c r="F68" s="88"/>
      <c r="G68" s="88"/>
      <c r="H68" s="88"/>
      <c r="I68" s="88"/>
      <c r="J68" s="88"/>
      <c r="K68" s="89"/>
      <c r="L68" s="138"/>
      <c r="M68" s="139"/>
      <c r="N68" s="139"/>
      <c r="O68" s="139"/>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9"/>
    </row>
    <row r="69" spans="1:54" ht="23.25" customHeight="1">
      <c r="A69" s="112"/>
      <c r="B69" s="113"/>
      <c r="C69" s="88"/>
      <c r="D69" s="88"/>
      <c r="E69" s="88"/>
      <c r="F69" s="88"/>
      <c r="G69" s="88"/>
      <c r="H69" s="88"/>
      <c r="I69" s="88"/>
      <c r="J69" s="88"/>
      <c r="K69" s="89"/>
      <c r="L69" s="138"/>
      <c r="M69" s="139"/>
      <c r="N69" s="139"/>
      <c r="O69" s="139"/>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9"/>
    </row>
    <row r="70" spans="1:54" ht="23.25" customHeight="1">
      <c r="A70" s="112"/>
      <c r="B70" s="113"/>
      <c r="C70" s="88"/>
      <c r="D70" s="88"/>
      <c r="E70" s="88"/>
      <c r="F70" s="88"/>
      <c r="G70" s="88"/>
      <c r="H70" s="88"/>
      <c r="I70" s="88"/>
      <c r="J70" s="88"/>
      <c r="K70" s="89"/>
      <c r="L70" s="138"/>
      <c r="M70" s="139"/>
      <c r="N70" s="139"/>
      <c r="O70" s="139"/>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9"/>
    </row>
    <row r="71" spans="1:54" ht="23.25" customHeight="1">
      <c r="A71" s="112"/>
      <c r="B71" s="113"/>
      <c r="C71" s="88"/>
      <c r="D71" s="88"/>
      <c r="E71" s="88"/>
      <c r="F71" s="88"/>
      <c r="G71" s="88"/>
      <c r="H71" s="88"/>
      <c r="I71" s="88"/>
      <c r="J71" s="88"/>
      <c r="K71" s="89"/>
      <c r="L71" s="138"/>
      <c r="M71" s="139"/>
      <c r="N71" s="139"/>
      <c r="O71" s="139"/>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9"/>
    </row>
    <row r="72" spans="1:54" ht="23.25" customHeight="1">
      <c r="A72" s="112"/>
      <c r="B72" s="113"/>
      <c r="C72" s="88"/>
      <c r="D72" s="88"/>
      <c r="E72" s="88"/>
      <c r="F72" s="88"/>
      <c r="G72" s="88"/>
      <c r="H72" s="88"/>
      <c r="I72" s="88"/>
      <c r="J72" s="88"/>
      <c r="K72" s="89"/>
      <c r="L72" s="138"/>
      <c r="M72" s="139"/>
      <c r="N72" s="139"/>
      <c r="O72" s="139"/>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9"/>
    </row>
    <row r="73" spans="1:54" ht="23.25" customHeight="1">
      <c r="A73" s="112"/>
      <c r="B73" s="113"/>
      <c r="C73" s="88"/>
      <c r="D73" s="88"/>
      <c r="E73" s="88"/>
      <c r="F73" s="88"/>
      <c r="G73" s="88"/>
      <c r="H73" s="88"/>
      <c r="I73" s="88"/>
      <c r="J73" s="88"/>
      <c r="K73" s="89"/>
      <c r="L73" s="138"/>
      <c r="M73" s="139"/>
      <c r="N73" s="139"/>
      <c r="O73" s="139"/>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9"/>
    </row>
    <row r="74" spans="1:54" ht="23.25" customHeight="1">
      <c r="A74" s="112"/>
      <c r="B74" s="113"/>
      <c r="C74" s="88"/>
      <c r="D74" s="88"/>
      <c r="E74" s="88"/>
      <c r="F74" s="88"/>
      <c r="G74" s="88"/>
      <c r="H74" s="88"/>
      <c r="I74" s="88"/>
      <c r="J74" s="88"/>
      <c r="K74" s="89"/>
      <c r="L74" s="138"/>
      <c r="M74" s="139"/>
      <c r="N74" s="139"/>
      <c r="O74" s="139"/>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9"/>
    </row>
    <row r="75" spans="1:54" ht="42" customHeight="1">
      <c r="A75" s="104" t="s">
        <v>52</v>
      </c>
      <c r="B75" s="105"/>
      <c r="C75" s="104" t="s">
        <v>53</v>
      </c>
      <c r="D75" s="106"/>
      <c r="E75" s="106"/>
      <c r="F75" s="106"/>
      <c r="G75" s="106"/>
      <c r="H75" s="106"/>
      <c r="I75" s="106"/>
      <c r="J75" s="106"/>
      <c r="K75" s="105"/>
      <c r="L75" s="104" t="s">
        <v>54</v>
      </c>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5"/>
      <c r="AK75" s="107" t="s">
        <v>15</v>
      </c>
      <c r="AL75" s="108"/>
      <c r="AM75" s="108" t="s">
        <v>16</v>
      </c>
      <c r="AN75" s="108"/>
      <c r="AO75" s="108" t="s">
        <v>17</v>
      </c>
      <c r="AP75" s="108"/>
      <c r="AQ75" s="108" t="s">
        <v>18</v>
      </c>
      <c r="AR75" s="108"/>
      <c r="AS75" s="108" t="s">
        <v>19</v>
      </c>
      <c r="AT75" s="108"/>
      <c r="AU75" s="108" t="s">
        <v>20</v>
      </c>
      <c r="AV75" s="108"/>
      <c r="AW75" s="108" t="s">
        <v>21</v>
      </c>
      <c r="AX75" s="108"/>
      <c r="AY75" s="108" t="s">
        <v>22</v>
      </c>
      <c r="AZ75" s="108"/>
      <c r="BA75" s="108" t="s">
        <v>23</v>
      </c>
      <c r="BB75" s="109"/>
    </row>
    <row r="76" spans="1:54" ht="21" customHeight="1">
      <c r="A76" s="110">
        <v>5</v>
      </c>
      <c r="B76" s="111"/>
      <c r="C76" s="162">
        <v>45108</v>
      </c>
      <c r="D76" s="162"/>
      <c r="E76" s="162"/>
      <c r="F76" s="162"/>
      <c r="G76" s="12" t="s">
        <v>55</v>
      </c>
      <c r="H76" s="162">
        <v>45412</v>
      </c>
      <c r="I76" s="162"/>
      <c r="J76" s="162"/>
      <c r="K76" s="177"/>
      <c r="L76" s="115" t="s">
        <v>56</v>
      </c>
      <c r="M76" s="116"/>
      <c r="N76" s="116"/>
      <c r="O76" s="116"/>
      <c r="P76" s="16" t="s">
        <v>78</v>
      </c>
      <c r="Q76" s="16"/>
      <c r="R76" s="16"/>
      <c r="S76" s="16"/>
      <c r="T76" s="16"/>
      <c r="U76" s="16"/>
      <c r="V76" s="16"/>
      <c r="W76" s="16"/>
      <c r="X76" s="16"/>
      <c r="Y76" s="16"/>
      <c r="Z76" s="16"/>
      <c r="AA76" s="16"/>
      <c r="AB76" s="16"/>
      <c r="AC76" s="16"/>
      <c r="AD76" s="16"/>
      <c r="AE76" s="16"/>
      <c r="AF76" s="16"/>
      <c r="AG76" s="16"/>
      <c r="AH76" s="16"/>
      <c r="AI76" s="16"/>
      <c r="AJ76" s="17"/>
      <c r="AK76" s="163" t="s">
        <v>27</v>
      </c>
      <c r="AL76" s="164"/>
      <c r="AM76" s="167" t="s">
        <v>27</v>
      </c>
      <c r="AN76" s="164"/>
      <c r="AO76" s="167" t="s">
        <v>27</v>
      </c>
      <c r="AP76" s="164"/>
      <c r="AQ76" s="167" t="s">
        <v>28</v>
      </c>
      <c r="AR76" s="164"/>
      <c r="AS76" s="167" t="s">
        <v>28</v>
      </c>
      <c r="AT76" s="164"/>
      <c r="AU76" s="167" t="s">
        <v>28</v>
      </c>
      <c r="AV76" s="164"/>
      <c r="AW76" s="167" t="s">
        <v>27</v>
      </c>
      <c r="AX76" s="164"/>
      <c r="AY76" s="167" t="s">
        <v>27</v>
      </c>
      <c r="AZ76" s="164"/>
      <c r="BA76" s="169" t="s">
        <v>28</v>
      </c>
      <c r="BB76" s="170"/>
    </row>
    <row r="77" spans="1:54" ht="21" customHeight="1">
      <c r="A77" s="112"/>
      <c r="B77" s="113"/>
      <c r="C77" s="173" t="str">
        <f t="shared" ref="C77" ca="1" si="4">IF(H76="現在",IF(DATEDIF(C76,TODAY(),"YM")+1=12,DATEDIF(C76,TODAY(),"Y")+1&amp;"年",DATEDIF(C76,TODAY(),"Y")&amp;"年"&amp;DATEDIF(C76,TODAY(),"YM")+1&amp;"ヶ月"),IF(DATEDIF(C76,H76,"YM")+1=12,DATEDIF(C76,H76,"Y")+1&amp;"年",DATEDIF(C76,H76,"Y")&amp;"年"&amp;DATEDIF(C76,H76,"YM")+1&amp;"ヶ月"))</f>
        <v>0年10ヶ月</v>
      </c>
      <c r="D77" s="173"/>
      <c r="E77" s="173"/>
      <c r="F77" s="173"/>
      <c r="G77" s="173"/>
      <c r="H77" s="173"/>
      <c r="I77" s="173"/>
      <c r="J77" s="173"/>
      <c r="K77" s="174"/>
      <c r="L77" s="115" t="s">
        <v>58</v>
      </c>
      <c r="M77" s="116"/>
      <c r="N77" s="116"/>
      <c r="O77" s="116"/>
      <c r="P77" s="131" t="s">
        <v>59</v>
      </c>
      <c r="Q77" s="131"/>
      <c r="R77" s="131"/>
      <c r="S77" s="131"/>
      <c r="T77" s="131"/>
      <c r="U77" s="131"/>
      <c r="V77" s="131"/>
      <c r="W77" s="131"/>
      <c r="X77" s="131"/>
      <c r="Y77" s="131"/>
      <c r="Z77" s="131"/>
      <c r="AA77" s="131"/>
      <c r="AB77" s="132"/>
      <c r="AC77" s="115" t="s">
        <v>60</v>
      </c>
      <c r="AD77" s="116"/>
      <c r="AE77" s="116"/>
      <c r="AF77" s="116"/>
      <c r="AG77" s="175" t="s">
        <v>79</v>
      </c>
      <c r="AH77" s="175"/>
      <c r="AI77" s="175"/>
      <c r="AJ77" s="176"/>
      <c r="AK77" s="165"/>
      <c r="AL77" s="166"/>
      <c r="AM77" s="168"/>
      <c r="AN77" s="166"/>
      <c r="AO77" s="168"/>
      <c r="AP77" s="166"/>
      <c r="AQ77" s="168"/>
      <c r="AR77" s="166"/>
      <c r="AS77" s="168"/>
      <c r="AT77" s="166"/>
      <c r="AU77" s="168"/>
      <c r="AV77" s="166"/>
      <c r="AW77" s="168"/>
      <c r="AX77" s="166"/>
      <c r="AY77" s="168"/>
      <c r="AZ77" s="166"/>
      <c r="BA77" s="171"/>
      <c r="BB77" s="172"/>
    </row>
    <row r="78" spans="1:54" ht="21" customHeight="1">
      <c r="A78" s="112"/>
      <c r="B78" s="113"/>
      <c r="C78" s="135" t="s">
        <v>62</v>
      </c>
      <c r="D78" s="135"/>
      <c r="E78" s="135"/>
      <c r="F78" s="135"/>
      <c r="G78" s="135"/>
      <c r="H78" s="135"/>
      <c r="I78" s="135"/>
      <c r="J78" s="135"/>
      <c r="K78" s="135"/>
      <c r="L78" s="136" t="s">
        <v>63</v>
      </c>
      <c r="M78" s="137"/>
      <c r="N78" s="137"/>
      <c r="O78" s="137"/>
      <c r="P78" s="86" t="s">
        <v>80</v>
      </c>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7"/>
    </row>
    <row r="79" spans="1:54" ht="31.5" customHeight="1">
      <c r="A79" s="112"/>
      <c r="B79" s="113"/>
      <c r="C79" s="88" t="s">
        <v>81</v>
      </c>
      <c r="D79" s="88"/>
      <c r="E79" s="88"/>
      <c r="F79" s="88"/>
      <c r="G79" s="88"/>
      <c r="H79" s="88"/>
      <c r="I79" s="88"/>
      <c r="J79" s="88"/>
      <c r="K79" s="89"/>
      <c r="L79" s="138"/>
      <c r="M79" s="139"/>
      <c r="N79" s="139"/>
      <c r="O79" s="139"/>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9"/>
    </row>
    <row r="80" spans="1:54" ht="31.5" customHeight="1">
      <c r="A80" s="112"/>
      <c r="B80" s="113"/>
      <c r="C80" s="88"/>
      <c r="D80" s="88"/>
      <c r="E80" s="88"/>
      <c r="F80" s="88"/>
      <c r="G80" s="88"/>
      <c r="H80" s="88"/>
      <c r="I80" s="88"/>
      <c r="J80" s="88"/>
      <c r="K80" s="89"/>
      <c r="L80" s="138"/>
      <c r="M80" s="139"/>
      <c r="N80" s="139"/>
      <c r="O80" s="139"/>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9"/>
    </row>
    <row r="81" spans="1:54" ht="31.5" customHeight="1">
      <c r="A81" s="112"/>
      <c r="B81" s="113"/>
      <c r="C81" s="88"/>
      <c r="D81" s="88"/>
      <c r="E81" s="88"/>
      <c r="F81" s="88"/>
      <c r="G81" s="88"/>
      <c r="H81" s="88"/>
      <c r="I81" s="88"/>
      <c r="J81" s="88"/>
      <c r="K81" s="89"/>
      <c r="L81" s="138"/>
      <c r="M81" s="139"/>
      <c r="N81" s="139"/>
      <c r="O81" s="139"/>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9"/>
    </row>
    <row r="82" spans="1:54" ht="31.5" customHeight="1">
      <c r="A82" s="112"/>
      <c r="B82" s="113"/>
      <c r="C82" s="88"/>
      <c r="D82" s="88"/>
      <c r="E82" s="88"/>
      <c r="F82" s="88"/>
      <c r="G82" s="88"/>
      <c r="H82" s="88"/>
      <c r="I82" s="88"/>
      <c r="J82" s="88"/>
      <c r="K82" s="89"/>
      <c r="L82" s="138"/>
      <c r="M82" s="139"/>
      <c r="N82" s="139"/>
      <c r="O82" s="139"/>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9"/>
    </row>
    <row r="83" spans="1:54" ht="31.5" customHeight="1">
      <c r="A83" s="112"/>
      <c r="B83" s="113"/>
      <c r="C83" s="88"/>
      <c r="D83" s="88"/>
      <c r="E83" s="88"/>
      <c r="F83" s="88"/>
      <c r="G83" s="88"/>
      <c r="H83" s="88"/>
      <c r="I83" s="88"/>
      <c r="J83" s="88"/>
      <c r="K83" s="89"/>
      <c r="L83" s="138"/>
      <c r="M83" s="139"/>
      <c r="N83" s="139"/>
      <c r="O83" s="139"/>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9"/>
    </row>
    <row r="84" spans="1:54" ht="31.5" customHeight="1">
      <c r="A84" s="112"/>
      <c r="B84" s="113"/>
      <c r="C84" s="88"/>
      <c r="D84" s="88"/>
      <c r="E84" s="88"/>
      <c r="F84" s="88"/>
      <c r="G84" s="88"/>
      <c r="H84" s="88"/>
      <c r="I84" s="88"/>
      <c r="J84" s="88"/>
      <c r="K84" s="89"/>
      <c r="L84" s="138"/>
      <c r="M84" s="139"/>
      <c r="N84" s="139"/>
      <c r="O84" s="139"/>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9"/>
    </row>
    <row r="85" spans="1:54" ht="31.5" customHeight="1">
      <c r="A85" s="112"/>
      <c r="B85" s="113"/>
      <c r="C85" s="88"/>
      <c r="D85" s="88"/>
      <c r="E85" s="88"/>
      <c r="F85" s="88"/>
      <c r="G85" s="88"/>
      <c r="H85" s="88"/>
      <c r="I85" s="88"/>
      <c r="J85" s="88"/>
      <c r="K85" s="89"/>
      <c r="L85" s="138"/>
      <c r="M85" s="139"/>
      <c r="N85" s="139"/>
      <c r="O85" s="139"/>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9"/>
    </row>
    <row r="86" spans="1:54" ht="31.5" customHeight="1">
      <c r="A86" s="112"/>
      <c r="B86" s="113"/>
      <c r="C86" s="88"/>
      <c r="D86" s="88"/>
      <c r="E86" s="88"/>
      <c r="F86" s="88"/>
      <c r="G86" s="88"/>
      <c r="H86" s="88"/>
      <c r="I86" s="88"/>
      <c r="J86" s="88"/>
      <c r="K86" s="89"/>
      <c r="L86" s="138"/>
      <c r="M86" s="139"/>
      <c r="N86" s="139"/>
      <c r="O86" s="139"/>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9"/>
    </row>
    <row r="87" spans="1:54" ht="42" customHeight="1">
      <c r="A87" s="104" t="s">
        <v>52</v>
      </c>
      <c r="B87" s="105"/>
      <c r="C87" s="104" t="s">
        <v>53</v>
      </c>
      <c r="D87" s="106"/>
      <c r="E87" s="106"/>
      <c r="F87" s="106"/>
      <c r="G87" s="106"/>
      <c r="H87" s="106"/>
      <c r="I87" s="106"/>
      <c r="J87" s="106"/>
      <c r="K87" s="105"/>
      <c r="L87" s="104" t="s">
        <v>54</v>
      </c>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5"/>
      <c r="AK87" s="107" t="s">
        <v>15</v>
      </c>
      <c r="AL87" s="108"/>
      <c r="AM87" s="108" t="s">
        <v>16</v>
      </c>
      <c r="AN87" s="108"/>
      <c r="AO87" s="108" t="s">
        <v>17</v>
      </c>
      <c r="AP87" s="108"/>
      <c r="AQ87" s="108" t="s">
        <v>18</v>
      </c>
      <c r="AR87" s="108"/>
      <c r="AS87" s="108" t="s">
        <v>19</v>
      </c>
      <c r="AT87" s="108"/>
      <c r="AU87" s="108" t="s">
        <v>20</v>
      </c>
      <c r="AV87" s="108"/>
      <c r="AW87" s="108" t="s">
        <v>21</v>
      </c>
      <c r="AX87" s="108"/>
      <c r="AY87" s="108" t="s">
        <v>22</v>
      </c>
      <c r="AZ87" s="108"/>
      <c r="BA87" s="108" t="s">
        <v>23</v>
      </c>
      <c r="BB87" s="109"/>
    </row>
    <row r="88" spans="1:54" ht="21" customHeight="1">
      <c r="A88" s="110">
        <v>6</v>
      </c>
      <c r="B88" s="111"/>
      <c r="C88" s="162">
        <v>45047</v>
      </c>
      <c r="D88" s="162"/>
      <c r="E88" s="162"/>
      <c r="F88" s="162"/>
      <c r="G88" s="12" t="s">
        <v>55</v>
      </c>
      <c r="H88" s="162">
        <v>45107</v>
      </c>
      <c r="I88" s="162"/>
      <c r="J88" s="162"/>
      <c r="K88" s="177"/>
      <c r="L88" s="115" t="s">
        <v>56</v>
      </c>
      <c r="M88" s="116"/>
      <c r="N88" s="116"/>
      <c r="O88" s="116"/>
      <c r="P88" s="16" t="s">
        <v>82</v>
      </c>
      <c r="Q88" s="16"/>
      <c r="R88" s="16"/>
      <c r="S88" s="16"/>
      <c r="T88" s="16"/>
      <c r="U88" s="16"/>
      <c r="V88" s="16"/>
      <c r="W88" s="16"/>
      <c r="X88" s="16"/>
      <c r="Y88" s="16"/>
      <c r="Z88" s="16"/>
      <c r="AA88" s="16"/>
      <c r="AB88" s="16"/>
      <c r="AC88" s="16"/>
      <c r="AD88" s="16"/>
      <c r="AE88" s="16"/>
      <c r="AF88" s="16"/>
      <c r="AG88" s="16"/>
      <c r="AH88" s="16"/>
      <c r="AI88" s="16"/>
      <c r="AJ88" s="17"/>
      <c r="AK88" s="163" t="s">
        <v>27</v>
      </c>
      <c r="AL88" s="164"/>
      <c r="AM88" s="167" t="s">
        <v>27</v>
      </c>
      <c r="AN88" s="164"/>
      <c r="AO88" s="167" t="s">
        <v>27</v>
      </c>
      <c r="AP88" s="164"/>
      <c r="AQ88" s="167" t="s">
        <v>27</v>
      </c>
      <c r="AR88" s="164"/>
      <c r="AS88" s="167" t="s">
        <v>29</v>
      </c>
      <c r="AT88" s="164"/>
      <c r="AU88" s="167" t="s">
        <v>29</v>
      </c>
      <c r="AV88" s="164"/>
      <c r="AW88" s="167" t="s">
        <v>27</v>
      </c>
      <c r="AX88" s="164"/>
      <c r="AY88" s="167" t="s">
        <v>27</v>
      </c>
      <c r="AZ88" s="164"/>
      <c r="BA88" s="169" t="s">
        <v>27</v>
      </c>
      <c r="BB88" s="170"/>
    </row>
    <row r="89" spans="1:54" ht="21" customHeight="1">
      <c r="A89" s="112"/>
      <c r="B89" s="113"/>
      <c r="C89" s="173" t="str">
        <f t="shared" ref="C89" ca="1" si="5">IF(H88="現在",IF(DATEDIF(C88,TODAY(),"YM")+1=12,DATEDIF(C88,TODAY(),"Y")+1&amp;"年",DATEDIF(C88,TODAY(),"Y")&amp;"年"&amp;DATEDIF(C88,TODAY(),"YM")+1&amp;"ヶ月"),IF(DATEDIF(C88,H88,"YM")+1=12,DATEDIF(C88,H88,"Y")+1&amp;"年",DATEDIF(C88,H88,"Y")&amp;"年"&amp;DATEDIF(C88,H88,"YM")+1&amp;"ヶ月"))</f>
        <v>0年2ヶ月</v>
      </c>
      <c r="D89" s="173"/>
      <c r="E89" s="173"/>
      <c r="F89" s="173"/>
      <c r="G89" s="173"/>
      <c r="H89" s="173"/>
      <c r="I89" s="173"/>
      <c r="J89" s="173"/>
      <c r="K89" s="174"/>
      <c r="L89" s="115" t="s">
        <v>58</v>
      </c>
      <c r="M89" s="116"/>
      <c r="N89" s="116"/>
      <c r="O89" s="116"/>
      <c r="P89" s="131" t="s">
        <v>59</v>
      </c>
      <c r="Q89" s="131"/>
      <c r="R89" s="131"/>
      <c r="S89" s="131"/>
      <c r="T89" s="131"/>
      <c r="U89" s="131"/>
      <c r="V89" s="131"/>
      <c r="W89" s="131"/>
      <c r="X89" s="131"/>
      <c r="Y89" s="131"/>
      <c r="Z89" s="131"/>
      <c r="AA89" s="131"/>
      <c r="AB89" s="132"/>
      <c r="AC89" s="115" t="s">
        <v>60</v>
      </c>
      <c r="AD89" s="116"/>
      <c r="AE89" s="116"/>
      <c r="AF89" s="116"/>
      <c r="AG89" s="175" t="s">
        <v>83</v>
      </c>
      <c r="AH89" s="175"/>
      <c r="AI89" s="175"/>
      <c r="AJ89" s="176"/>
      <c r="AK89" s="165"/>
      <c r="AL89" s="166"/>
      <c r="AM89" s="168"/>
      <c r="AN89" s="166"/>
      <c r="AO89" s="168"/>
      <c r="AP89" s="166"/>
      <c r="AQ89" s="168"/>
      <c r="AR89" s="166"/>
      <c r="AS89" s="168"/>
      <c r="AT89" s="166"/>
      <c r="AU89" s="168"/>
      <c r="AV89" s="166"/>
      <c r="AW89" s="168"/>
      <c r="AX89" s="166"/>
      <c r="AY89" s="168"/>
      <c r="AZ89" s="166"/>
      <c r="BA89" s="171"/>
      <c r="BB89" s="172"/>
    </row>
    <row r="90" spans="1:54" ht="21" customHeight="1">
      <c r="A90" s="112"/>
      <c r="B90" s="113"/>
      <c r="C90" s="135" t="s">
        <v>62</v>
      </c>
      <c r="D90" s="135"/>
      <c r="E90" s="135"/>
      <c r="F90" s="135"/>
      <c r="G90" s="135"/>
      <c r="H90" s="135"/>
      <c r="I90" s="135"/>
      <c r="J90" s="135"/>
      <c r="K90" s="135"/>
      <c r="L90" s="136" t="s">
        <v>63</v>
      </c>
      <c r="M90" s="137"/>
      <c r="N90" s="137"/>
      <c r="O90" s="137"/>
      <c r="P90" s="86" t="s">
        <v>84</v>
      </c>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7"/>
    </row>
    <row r="91" spans="1:54" ht="21.75" customHeight="1">
      <c r="A91" s="112"/>
      <c r="B91" s="113"/>
      <c r="C91" s="88" t="s">
        <v>85</v>
      </c>
      <c r="D91" s="88"/>
      <c r="E91" s="88"/>
      <c r="F91" s="88"/>
      <c r="G91" s="88"/>
      <c r="H91" s="88"/>
      <c r="I91" s="88"/>
      <c r="J91" s="88"/>
      <c r="K91" s="89"/>
      <c r="L91" s="138"/>
      <c r="M91" s="139"/>
      <c r="N91" s="139"/>
      <c r="O91" s="139"/>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9"/>
    </row>
    <row r="92" spans="1:54" ht="21.75" customHeight="1">
      <c r="A92" s="112"/>
      <c r="B92" s="113"/>
      <c r="C92" s="88"/>
      <c r="D92" s="88"/>
      <c r="E92" s="88"/>
      <c r="F92" s="88"/>
      <c r="G92" s="88"/>
      <c r="H92" s="88"/>
      <c r="I92" s="88"/>
      <c r="J92" s="88"/>
      <c r="K92" s="89"/>
      <c r="L92" s="138"/>
      <c r="M92" s="139"/>
      <c r="N92" s="139"/>
      <c r="O92" s="139"/>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9"/>
    </row>
    <row r="93" spans="1:54" ht="21.75" customHeight="1">
      <c r="A93" s="112"/>
      <c r="B93" s="113"/>
      <c r="C93" s="88"/>
      <c r="D93" s="88"/>
      <c r="E93" s="88"/>
      <c r="F93" s="88"/>
      <c r="G93" s="88"/>
      <c r="H93" s="88"/>
      <c r="I93" s="88"/>
      <c r="J93" s="88"/>
      <c r="K93" s="89"/>
      <c r="L93" s="138"/>
      <c r="M93" s="139"/>
      <c r="N93" s="139"/>
      <c r="O93" s="139"/>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9"/>
    </row>
    <row r="94" spans="1:54" ht="21.75" customHeight="1">
      <c r="A94" s="112"/>
      <c r="B94" s="113"/>
      <c r="C94" s="88"/>
      <c r="D94" s="88"/>
      <c r="E94" s="88"/>
      <c r="F94" s="88"/>
      <c r="G94" s="88"/>
      <c r="H94" s="88"/>
      <c r="I94" s="88"/>
      <c r="J94" s="88"/>
      <c r="K94" s="89"/>
      <c r="L94" s="138"/>
      <c r="M94" s="139"/>
      <c r="N94" s="139"/>
      <c r="O94" s="139"/>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9"/>
    </row>
    <row r="95" spans="1:54" ht="21.75" customHeight="1">
      <c r="A95" s="112"/>
      <c r="B95" s="113"/>
      <c r="C95" s="88"/>
      <c r="D95" s="88"/>
      <c r="E95" s="88"/>
      <c r="F95" s="88"/>
      <c r="G95" s="88"/>
      <c r="H95" s="88"/>
      <c r="I95" s="88"/>
      <c r="J95" s="88"/>
      <c r="K95" s="89"/>
      <c r="L95" s="138"/>
      <c r="M95" s="139"/>
      <c r="N95" s="139"/>
      <c r="O95" s="139"/>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9"/>
    </row>
    <row r="96" spans="1:54" ht="21.75" customHeight="1">
      <c r="A96" s="112"/>
      <c r="B96" s="113"/>
      <c r="C96" s="88"/>
      <c r="D96" s="88"/>
      <c r="E96" s="88"/>
      <c r="F96" s="88"/>
      <c r="G96" s="88"/>
      <c r="H96" s="88"/>
      <c r="I96" s="88"/>
      <c r="J96" s="88"/>
      <c r="K96" s="89"/>
      <c r="L96" s="138"/>
      <c r="M96" s="139"/>
      <c r="N96" s="139"/>
      <c r="O96" s="139"/>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9"/>
    </row>
    <row r="97" spans="1:54" ht="21.75" customHeight="1">
      <c r="A97" s="112"/>
      <c r="B97" s="113"/>
      <c r="C97" s="88"/>
      <c r="D97" s="88"/>
      <c r="E97" s="88"/>
      <c r="F97" s="88"/>
      <c r="G97" s="88"/>
      <c r="H97" s="88"/>
      <c r="I97" s="88"/>
      <c r="J97" s="88"/>
      <c r="K97" s="89"/>
      <c r="L97" s="138"/>
      <c r="M97" s="139"/>
      <c r="N97" s="139"/>
      <c r="O97" s="139"/>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9"/>
    </row>
    <row r="98" spans="1:54" ht="21.75" customHeight="1">
      <c r="A98" s="112"/>
      <c r="B98" s="113"/>
      <c r="C98" s="88"/>
      <c r="D98" s="88"/>
      <c r="E98" s="88"/>
      <c r="F98" s="88"/>
      <c r="G98" s="88"/>
      <c r="H98" s="88"/>
      <c r="I98" s="88"/>
      <c r="J98" s="88"/>
      <c r="K98" s="89"/>
      <c r="L98" s="138"/>
      <c r="M98" s="139"/>
      <c r="N98" s="139"/>
      <c r="O98" s="139"/>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9"/>
    </row>
    <row r="99" spans="1:54" ht="42" customHeight="1">
      <c r="A99" s="104" t="s">
        <v>52</v>
      </c>
      <c r="B99" s="105"/>
      <c r="C99" s="104" t="s">
        <v>53</v>
      </c>
      <c r="D99" s="106"/>
      <c r="E99" s="106"/>
      <c r="F99" s="106"/>
      <c r="G99" s="106"/>
      <c r="H99" s="106"/>
      <c r="I99" s="106"/>
      <c r="J99" s="106"/>
      <c r="K99" s="105"/>
      <c r="L99" s="104" t="s">
        <v>54</v>
      </c>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5"/>
      <c r="AK99" s="107" t="s">
        <v>15</v>
      </c>
      <c r="AL99" s="108"/>
      <c r="AM99" s="108" t="s">
        <v>16</v>
      </c>
      <c r="AN99" s="108"/>
      <c r="AO99" s="108" t="s">
        <v>17</v>
      </c>
      <c r="AP99" s="108"/>
      <c r="AQ99" s="108" t="s">
        <v>18</v>
      </c>
      <c r="AR99" s="108"/>
      <c r="AS99" s="108" t="s">
        <v>19</v>
      </c>
      <c r="AT99" s="108"/>
      <c r="AU99" s="108" t="s">
        <v>20</v>
      </c>
      <c r="AV99" s="108"/>
      <c r="AW99" s="108" t="s">
        <v>21</v>
      </c>
      <c r="AX99" s="108"/>
      <c r="AY99" s="108" t="s">
        <v>22</v>
      </c>
      <c r="AZ99" s="108"/>
      <c r="BA99" s="108" t="s">
        <v>23</v>
      </c>
      <c r="BB99" s="109"/>
    </row>
    <row r="100" spans="1:54" ht="21" customHeight="1">
      <c r="A100" s="110">
        <v>7</v>
      </c>
      <c r="B100" s="111"/>
      <c r="C100" s="162">
        <v>44927</v>
      </c>
      <c r="D100" s="162"/>
      <c r="E100" s="162"/>
      <c r="F100" s="162"/>
      <c r="G100" s="12" t="s">
        <v>55</v>
      </c>
      <c r="H100" s="162">
        <v>45047</v>
      </c>
      <c r="I100" s="162"/>
      <c r="J100" s="162"/>
      <c r="K100" s="177"/>
      <c r="L100" s="115" t="s">
        <v>56</v>
      </c>
      <c r="M100" s="116"/>
      <c r="N100" s="116"/>
      <c r="O100" s="116"/>
      <c r="P100" s="16" t="s">
        <v>86</v>
      </c>
      <c r="Q100" s="16"/>
      <c r="R100" s="16"/>
      <c r="S100" s="16"/>
      <c r="T100" s="16"/>
      <c r="U100" s="16"/>
      <c r="V100" s="16"/>
      <c r="W100" s="16"/>
      <c r="X100" s="16"/>
      <c r="Y100" s="16"/>
      <c r="Z100" s="16"/>
      <c r="AA100" s="16"/>
      <c r="AB100" s="16"/>
      <c r="AC100" s="16"/>
      <c r="AD100" s="16"/>
      <c r="AE100" s="16"/>
      <c r="AF100" s="16"/>
      <c r="AG100" s="16"/>
      <c r="AH100" s="16"/>
      <c r="AI100" s="16"/>
      <c r="AJ100" s="17"/>
      <c r="AK100" s="163" t="s">
        <v>27</v>
      </c>
      <c r="AL100" s="164"/>
      <c r="AM100" s="167" t="s">
        <v>27</v>
      </c>
      <c r="AN100" s="164"/>
      <c r="AO100" s="167" t="s">
        <v>27</v>
      </c>
      <c r="AP100" s="164"/>
      <c r="AQ100" s="167" t="s">
        <v>28</v>
      </c>
      <c r="AR100" s="164"/>
      <c r="AS100" s="167" t="s">
        <v>29</v>
      </c>
      <c r="AT100" s="164"/>
      <c r="AU100" s="167" t="s">
        <v>29</v>
      </c>
      <c r="AV100" s="164"/>
      <c r="AW100" s="167" t="s">
        <v>27</v>
      </c>
      <c r="AX100" s="164"/>
      <c r="AY100" s="167" t="s">
        <v>27</v>
      </c>
      <c r="AZ100" s="164"/>
      <c r="BA100" s="169" t="s">
        <v>27</v>
      </c>
      <c r="BB100" s="170"/>
    </row>
    <row r="101" spans="1:54" ht="21" customHeight="1">
      <c r="A101" s="112"/>
      <c r="B101" s="113"/>
      <c r="C101" s="173" t="str">
        <f t="shared" ref="C101" ca="1" si="6">IF(H100="現在",IF(DATEDIF(C100,TODAY(),"YM")+1=12,DATEDIF(C100,TODAY(),"Y")+1&amp;"年",DATEDIF(C100,TODAY(),"Y")&amp;"年"&amp;DATEDIF(C100,TODAY(),"YM")+1&amp;"ヶ月"),IF(DATEDIF(C100,H100,"YM")+1=12,DATEDIF(C100,H100,"Y")+1&amp;"年",DATEDIF(C100,H100,"Y")&amp;"年"&amp;DATEDIF(C100,H100,"YM")+1&amp;"ヶ月"))</f>
        <v>0年5ヶ月</v>
      </c>
      <c r="D101" s="173"/>
      <c r="E101" s="173"/>
      <c r="F101" s="173"/>
      <c r="G101" s="173"/>
      <c r="H101" s="173"/>
      <c r="I101" s="173"/>
      <c r="J101" s="173"/>
      <c r="K101" s="174"/>
      <c r="L101" s="115" t="s">
        <v>58</v>
      </c>
      <c r="M101" s="116"/>
      <c r="N101" s="116"/>
      <c r="O101" s="116"/>
      <c r="P101" s="131" t="s">
        <v>59</v>
      </c>
      <c r="Q101" s="131"/>
      <c r="R101" s="131"/>
      <c r="S101" s="131"/>
      <c r="T101" s="131"/>
      <c r="U101" s="131"/>
      <c r="V101" s="131"/>
      <c r="W101" s="131"/>
      <c r="X101" s="131"/>
      <c r="Y101" s="131"/>
      <c r="Z101" s="131"/>
      <c r="AA101" s="131"/>
      <c r="AB101" s="132"/>
      <c r="AC101" s="115" t="s">
        <v>60</v>
      </c>
      <c r="AD101" s="116"/>
      <c r="AE101" s="116"/>
      <c r="AF101" s="116"/>
      <c r="AG101" s="175" t="s">
        <v>87</v>
      </c>
      <c r="AH101" s="175"/>
      <c r="AI101" s="175"/>
      <c r="AJ101" s="176"/>
      <c r="AK101" s="165"/>
      <c r="AL101" s="166"/>
      <c r="AM101" s="168"/>
      <c r="AN101" s="166"/>
      <c r="AO101" s="168"/>
      <c r="AP101" s="166"/>
      <c r="AQ101" s="168"/>
      <c r="AR101" s="166"/>
      <c r="AS101" s="168"/>
      <c r="AT101" s="166"/>
      <c r="AU101" s="168"/>
      <c r="AV101" s="166"/>
      <c r="AW101" s="168"/>
      <c r="AX101" s="166"/>
      <c r="AY101" s="168"/>
      <c r="AZ101" s="166"/>
      <c r="BA101" s="171"/>
      <c r="BB101" s="172"/>
    </row>
    <row r="102" spans="1:54" ht="21" customHeight="1">
      <c r="A102" s="112"/>
      <c r="B102" s="113"/>
      <c r="C102" s="135" t="s">
        <v>62</v>
      </c>
      <c r="D102" s="135"/>
      <c r="E102" s="135"/>
      <c r="F102" s="135"/>
      <c r="G102" s="135"/>
      <c r="H102" s="135"/>
      <c r="I102" s="135"/>
      <c r="J102" s="135"/>
      <c r="K102" s="135"/>
      <c r="L102" s="136" t="s">
        <v>63</v>
      </c>
      <c r="M102" s="137"/>
      <c r="N102" s="137"/>
      <c r="O102" s="137"/>
      <c r="P102" s="86" t="s">
        <v>88</v>
      </c>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c r="AY102" s="86"/>
      <c r="AZ102" s="86"/>
      <c r="BA102" s="86"/>
      <c r="BB102" s="87"/>
    </row>
    <row r="103" spans="1:54" ht="29.25" customHeight="1">
      <c r="A103" s="112"/>
      <c r="B103" s="113"/>
      <c r="C103" s="88" t="s">
        <v>89</v>
      </c>
      <c r="D103" s="88"/>
      <c r="E103" s="88"/>
      <c r="F103" s="88"/>
      <c r="G103" s="88"/>
      <c r="H103" s="88"/>
      <c r="I103" s="88"/>
      <c r="J103" s="88"/>
      <c r="K103" s="89"/>
      <c r="L103" s="138"/>
      <c r="M103" s="139"/>
      <c r="N103" s="139"/>
      <c r="O103" s="139"/>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9"/>
    </row>
    <row r="104" spans="1:54" ht="29.25" customHeight="1">
      <c r="A104" s="112"/>
      <c r="B104" s="113"/>
      <c r="C104" s="88"/>
      <c r="D104" s="88"/>
      <c r="E104" s="88"/>
      <c r="F104" s="88"/>
      <c r="G104" s="88"/>
      <c r="H104" s="88"/>
      <c r="I104" s="88"/>
      <c r="J104" s="88"/>
      <c r="K104" s="89"/>
      <c r="L104" s="138"/>
      <c r="M104" s="139"/>
      <c r="N104" s="139"/>
      <c r="O104" s="139"/>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9"/>
    </row>
    <row r="105" spans="1:54" ht="29.25" customHeight="1">
      <c r="A105" s="112"/>
      <c r="B105" s="113"/>
      <c r="C105" s="88"/>
      <c r="D105" s="88"/>
      <c r="E105" s="88"/>
      <c r="F105" s="88"/>
      <c r="G105" s="88"/>
      <c r="H105" s="88"/>
      <c r="I105" s="88"/>
      <c r="J105" s="88"/>
      <c r="K105" s="89"/>
      <c r="L105" s="138"/>
      <c r="M105" s="139"/>
      <c r="N105" s="139"/>
      <c r="O105" s="139"/>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9"/>
    </row>
    <row r="106" spans="1:54" ht="29.25" customHeight="1">
      <c r="A106" s="112"/>
      <c r="B106" s="113"/>
      <c r="C106" s="88"/>
      <c r="D106" s="88"/>
      <c r="E106" s="88"/>
      <c r="F106" s="88"/>
      <c r="G106" s="88"/>
      <c r="H106" s="88"/>
      <c r="I106" s="88"/>
      <c r="J106" s="88"/>
      <c r="K106" s="89"/>
      <c r="L106" s="138"/>
      <c r="M106" s="139"/>
      <c r="N106" s="139"/>
      <c r="O106" s="139"/>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9"/>
    </row>
    <row r="107" spans="1:54" ht="29.25" customHeight="1">
      <c r="A107" s="112"/>
      <c r="B107" s="113"/>
      <c r="C107" s="88"/>
      <c r="D107" s="88"/>
      <c r="E107" s="88"/>
      <c r="F107" s="88"/>
      <c r="G107" s="88"/>
      <c r="H107" s="88"/>
      <c r="I107" s="88"/>
      <c r="J107" s="88"/>
      <c r="K107" s="89"/>
      <c r="L107" s="138"/>
      <c r="M107" s="139"/>
      <c r="N107" s="139"/>
      <c r="O107" s="139"/>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9"/>
    </row>
    <row r="108" spans="1:54" ht="29.25" customHeight="1">
      <c r="A108" s="112"/>
      <c r="B108" s="113"/>
      <c r="C108" s="88"/>
      <c r="D108" s="88"/>
      <c r="E108" s="88"/>
      <c r="F108" s="88"/>
      <c r="G108" s="88"/>
      <c r="H108" s="88"/>
      <c r="I108" s="88"/>
      <c r="J108" s="88"/>
      <c r="K108" s="89"/>
      <c r="L108" s="138"/>
      <c r="M108" s="139"/>
      <c r="N108" s="139"/>
      <c r="O108" s="139"/>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9"/>
    </row>
    <row r="109" spans="1:54" ht="29.25" customHeight="1">
      <c r="A109" s="112"/>
      <c r="B109" s="113"/>
      <c r="C109" s="88"/>
      <c r="D109" s="88"/>
      <c r="E109" s="88"/>
      <c r="F109" s="88"/>
      <c r="G109" s="88"/>
      <c r="H109" s="88"/>
      <c r="I109" s="88"/>
      <c r="J109" s="88"/>
      <c r="K109" s="89"/>
      <c r="L109" s="138"/>
      <c r="M109" s="139"/>
      <c r="N109" s="139"/>
      <c r="O109" s="139"/>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9"/>
    </row>
    <row r="110" spans="1:54" ht="29.25" customHeight="1">
      <c r="A110" s="112"/>
      <c r="B110" s="113"/>
      <c r="C110" s="88"/>
      <c r="D110" s="88"/>
      <c r="E110" s="88"/>
      <c r="F110" s="88"/>
      <c r="G110" s="88"/>
      <c r="H110" s="88"/>
      <c r="I110" s="88"/>
      <c r="J110" s="88"/>
      <c r="K110" s="89"/>
      <c r="L110" s="138"/>
      <c r="M110" s="139"/>
      <c r="N110" s="139"/>
      <c r="O110" s="139"/>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9"/>
    </row>
    <row r="111" spans="1:54" ht="42" customHeight="1">
      <c r="A111" s="104" t="s">
        <v>52</v>
      </c>
      <c r="B111" s="105"/>
      <c r="C111" s="104" t="s">
        <v>53</v>
      </c>
      <c r="D111" s="106"/>
      <c r="E111" s="106"/>
      <c r="F111" s="106"/>
      <c r="G111" s="106"/>
      <c r="H111" s="106"/>
      <c r="I111" s="106"/>
      <c r="J111" s="106"/>
      <c r="K111" s="105"/>
      <c r="L111" s="104" t="s">
        <v>54</v>
      </c>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5"/>
      <c r="AK111" s="107" t="s">
        <v>15</v>
      </c>
      <c r="AL111" s="108"/>
      <c r="AM111" s="108" t="s">
        <v>16</v>
      </c>
      <c r="AN111" s="108"/>
      <c r="AO111" s="108" t="s">
        <v>17</v>
      </c>
      <c r="AP111" s="108"/>
      <c r="AQ111" s="108" t="s">
        <v>18</v>
      </c>
      <c r="AR111" s="108"/>
      <c r="AS111" s="108" t="s">
        <v>19</v>
      </c>
      <c r="AT111" s="108"/>
      <c r="AU111" s="108" t="s">
        <v>20</v>
      </c>
      <c r="AV111" s="108"/>
      <c r="AW111" s="108" t="s">
        <v>21</v>
      </c>
      <c r="AX111" s="108"/>
      <c r="AY111" s="108" t="s">
        <v>22</v>
      </c>
      <c r="AZ111" s="108"/>
      <c r="BA111" s="108" t="s">
        <v>23</v>
      </c>
      <c r="BB111" s="109"/>
    </row>
    <row r="112" spans="1:54" ht="21" customHeight="1">
      <c r="A112" s="110">
        <v>8</v>
      </c>
      <c r="B112" s="111"/>
      <c r="C112" s="162">
        <v>44743</v>
      </c>
      <c r="D112" s="162"/>
      <c r="E112" s="162"/>
      <c r="F112" s="162"/>
      <c r="G112" s="12" t="s">
        <v>55</v>
      </c>
      <c r="H112" s="162">
        <v>44896</v>
      </c>
      <c r="I112" s="162"/>
      <c r="J112" s="162"/>
      <c r="K112" s="177"/>
      <c r="L112" s="115" t="s">
        <v>56</v>
      </c>
      <c r="M112" s="116"/>
      <c r="N112" s="116"/>
      <c r="O112" s="116"/>
      <c r="P112" s="16" t="s">
        <v>90</v>
      </c>
      <c r="Q112" s="16"/>
      <c r="R112" s="16"/>
      <c r="S112" s="16"/>
      <c r="T112" s="16"/>
      <c r="U112" s="16"/>
      <c r="V112" s="16"/>
      <c r="W112" s="16"/>
      <c r="X112" s="16"/>
      <c r="Y112" s="16"/>
      <c r="Z112" s="16"/>
      <c r="AA112" s="16"/>
      <c r="AB112" s="16"/>
      <c r="AC112" s="16"/>
      <c r="AD112" s="16"/>
      <c r="AE112" s="16"/>
      <c r="AF112" s="16"/>
      <c r="AG112" s="16"/>
      <c r="AH112" s="16"/>
      <c r="AI112" s="16"/>
      <c r="AJ112" s="17"/>
      <c r="AK112" s="163" t="s">
        <v>27</v>
      </c>
      <c r="AL112" s="164"/>
      <c r="AM112" s="167" t="s">
        <v>27</v>
      </c>
      <c r="AN112" s="164"/>
      <c r="AO112" s="167" t="s">
        <v>27</v>
      </c>
      <c r="AP112" s="164"/>
      <c r="AQ112" s="167" t="s">
        <v>27</v>
      </c>
      <c r="AR112" s="164"/>
      <c r="AS112" s="167" t="s">
        <v>29</v>
      </c>
      <c r="AT112" s="164"/>
      <c r="AU112" s="167" t="s">
        <v>27</v>
      </c>
      <c r="AV112" s="164"/>
      <c r="AW112" s="167" t="s">
        <v>27</v>
      </c>
      <c r="AX112" s="164"/>
      <c r="AY112" s="167" t="s">
        <v>27</v>
      </c>
      <c r="AZ112" s="164"/>
      <c r="BA112" s="169" t="s">
        <v>27</v>
      </c>
      <c r="BB112" s="170"/>
    </row>
    <row r="113" spans="1:54" ht="21" customHeight="1">
      <c r="A113" s="112"/>
      <c r="B113" s="113"/>
      <c r="C113" s="173" t="str">
        <f t="shared" ref="C113" ca="1" si="7">IF(H112="現在",IF(DATEDIF(C112,TODAY(),"YM")+1=12,DATEDIF(C112,TODAY(),"Y")+1&amp;"年",DATEDIF(C112,TODAY(),"Y")&amp;"年"&amp;DATEDIF(C112,TODAY(),"YM")+1&amp;"ヶ月"),IF(DATEDIF(C112,H112,"YM")+1=12,DATEDIF(C112,H112,"Y")+1&amp;"年",DATEDIF(C112,H112,"Y")&amp;"年"&amp;DATEDIF(C112,H112,"YM")+1&amp;"ヶ月"))</f>
        <v>0年6ヶ月</v>
      </c>
      <c r="D113" s="173"/>
      <c r="E113" s="173"/>
      <c r="F113" s="173"/>
      <c r="G113" s="173"/>
      <c r="H113" s="173"/>
      <c r="I113" s="173"/>
      <c r="J113" s="173"/>
      <c r="K113" s="174"/>
      <c r="L113" s="115" t="s">
        <v>58</v>
      </c>
      <c r="M113" s="116"/>
      <c r="N113" s="116"/>
      <c r="O113" s="116"/>
      <c r="P113" s="131" t="s">
        <v>59</v>
      </c>
      <c r="Q113" s="131"/>
      <c r="R113" s="131"/>
      <c r="S113" s="131"/>
      <c r="T113" s="131"/>
      <c r="U113" s="131"/>
      <c r="V113" s="131"/>
      <c r="W113" s="131"/>
      <c r="X113" s="131"/>
      <c r="Y113" s="131"/>
      <c r="Z113" s="131"/>
      <c r="AA113" s="131"/>
      <c r="AB113" s="132"/>
      <c r="AC113" s="115" t="s">
        <v>60</v>
      </c>
      <c r="AD113" s="116"/>
      <c r="AE113" s="116"/>
      <c r="AF113" s="116"/>
      <c r="AG113" s="175" t="s">
        <v>67</v>
      </c>
      <c r="AH113" s="175"/>
      <c r="AI113" s="175"/>
      <c r="AJ113" s="176"/>
      <c r="AK113" s="165"/>
      <c r="AL113" s="166"/>
      <c r="AM113" s="168"/>
      <c r="AN113" s="166"/>
      <c r="AO113" s="168"/>
      <c r="AP113" s="166"/>
      <c r="AQ113" s="168"/>
      <c r="AR113" s="166"/>
      <c r="AS113" s="168"/>
      <c r="AT113" s="166"/>
      <c r="AU113" s="168"/>
      <c r="AV113" s="166"/>
      <c r="AW113" s="168"/>
      <c r="AX113" s="166"/>
      <c r="AY113" s="168"/>
      <c r="AZ113" s="166"/>
      <c r="BA113" s="171"/>
      <c r="BB113" s="172"/>
    </row>
    <row r="114" spans="1:54" ht="21" customHeight="1">
      <c r="A114" s="112"/>
      <c r="B114" s="113"/>
      <c r="C114" s="135" t="s">
        <v>62</v>
      </c>
      <c r="D114" s="135"/>
      <c r="E114" s="135"/>
      <c r="F114" s="135"/>
      <c r="G114" s="135"/>
      <c r="H114" s="135"/>
      <c r="I114" s="135"/>
      <c r="J114" s="135"/>
      <c r="K114" s="135"/>
      <c r="L114" s="136" t="s">
        <v>63</v>
      </c>
      <c r="M114" s="137"/>
      <c r="N114" s="137"/>
      <c r="O114" s="137"/>
      <c r="P114" s="86" t="s">
        <v>91</v>
      </c>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c r="AU114" s="86"/>
      <c r="AV114" s="86"/>
      <c r="AW114" s="86"/>
      <c r="AX114" s="86"/>
      <c r="AY114" s="86"/>
      <c r="AZ114" s="86"/>
      <c r="BA114" s="86"/>
      <c r="BB114" s="87"/>
    </row>
    <row r="115" spans="1:54" ht="24" customHeight="1">
      <c r="A115" s="112"/>
      <c r="B115" s="113"/>
      <c r="C115" s="88" t="s">
        <v>92</v>
      </c>
      <c r="D115" s="88"/>
      <c r="E115" s="88"/>
      <c r="F115" s="88"/>
      <c r="G115" s="88"/>
      <c r="H115" s="88"/>
      <c r="I115" s="88"/>
      <c r="J115" s="88"/>
      <c r="K115" s="89"/>
      <c r="L115" s="138"/>
      <c r="M115" s="139"/>
      <c r="N115" s="139"/>
      <c r="O115" s="139"/>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9"/>
    </row>
    <row r="116" spans="1:54" ht="24" customHeight="1">
      <c r="A116" s="112"/>
      <c r="B116" s="113"/>
      <c r="C116" s="88"/>
      <c r="D116" s="88"/>
      <c r="E116" s="88"/>
      <c r="F116" s="88"/>
      <c r="G116" s="88"/>
      <c r="H116" s="88"/>
      <c r="I116" s="88"/>
      <c r="J116" s="88"/>
      <c r="K116" s="89"/>
      <c r="L116" s="138"/>
      <c r="M116" s="139"/>
      <c r="N116" s="139"/>
      <c r="O116" s="139"/>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9"/>
    </row>
    <row r="117" spans="1:54" ht="24" customHeight="1">
      <c r="A117" s="112"/>
      <c r="B117" s="113"/>
      <c r="C117" s="88"/>
      <c r="D117" s="88"/>
      <c r="E117" s="88"/>
      <c r="F117" s="88"/>
      <c r="G117" s="88"/>
      <c r="H117" s="88"/>
      <c r="I117" s="88"/>
      <c r="J117" s="88"/>
      <c r="K117" s="89"/>
      <c r="L117" s="138"/>
      <c r="M117" s="139"/>
      <c r="N117" s="139"/>
      <c r="O117" s="139"/>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9"/>
    </row>
    <row r="118" spans="1:54" ht="24" customHeight="1">
      <c r="A118" s="112"/>
      <c r="B118" s="113"/>
      <c r="C118" s="88"/>
      <c r="D118" s="88"/>
      <c r="E118" s="88"/>
      <c r="F118" s="88"/>
      <c r="G118" s="88"/>
      <c r="H118" s="88"/>
      <c r="I118" s="88"/>
      <c r="J118" s="88"/>
      <c r="K118" s="89"/>
      <c r="L118" s="138"/>
      <c r="M118" s="139"/>
      <c r="N118" s="139"/>
      <c r="O118" s="139"/>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9"/>
    </row>
    <row r="119" spans="1:54" ht="24" customHeight="1">
      <c r="A119" s="112"/>
      <c r="B119" s="113"/>
      <c r="C119" s="88"/>
      <c r="D119" s="88"/>
      <c r="E119" s="88"/>
      <c r="F119" s="88"/>
      <c r="G119" s="88"/>
      <c r="H119" s="88"/>
      <c r="I119" s="88"/>
      <c r="J119" s="88"/>
      <c r="K119" s="89"/>
      <c r="L119" s="138"/>
      <c r="M119" s="139"/>
      <c r="N119" s="139"/>
      <c r="O119" s="139"/>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9"/>
    </row>
    <row r="120" spans="1:54" ht="24" customHeight="1">
      <c r="A120" s="112"/>
      <c r="B120" s="113"/>
      <c r="C120" s="88"/>
      <c r="D120" s="88"/>
      <c r="E120" s="88"/>
      <c r="F120" s="88"/>
      <c r="G120" s="88"/>
      <c r="H120" s="88"/>
      <c r="I120" s="88"/>
      <c r="J120" s="88"/>
      <c r="K120" s="89"/>
      <c r="L120" s="138"/>
      <c r="M120" s="139"/>
      <c r="N120" s="139"/>
      <c r="O120" s="139"/>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9"/>
    </row>
    <row r="121" spans="1:54" ht="24" customHeight="1">
      <c r="A121" s="112"/>
      <c r="B121" s="113"/>
      <c r="C121" s="88"/>
      <c r="D121" s="88"/>
      <c r="E121" s="88"/>
      <c r="F121" s="88"/>
      <c r="G121" s="88"/>
      <c r="H121" s="88"/>
      <c r="I121" s="88"/>
      <c r="J121" s="88"/>
      <c r="K121" s="89"/>
      <c r="L121" s="138"/>
      <c r="M121" s="139"/>
      <c r="N121" s="139"/>
      <c r="O121" s="139"/>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9"/>
    </row>
    <row r="122" spans="1:54" ht="24" customHeight="1">
      <c r="A122" s="112"/>
      <c r="B122" s="113"/>
      <c r="C122" s="88"/>
      <c r="D122" s="88"/>
      <c r="E122" s="88"/>
      <c r="F122" s="88"/>
      <c r="G122" s="88"/>
      <c r="H122" s="88"/>
      <c r="I122" s="88"/>
      <c r="J122" s="88"/>
      <c r="K122" s="89"/>
      <c r="L122" s="138"/>
      <c r="M122" s="139"/>
      <c r="N122" s="139"/>
      <c r="O122" s="139"/>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9"/>
    </row>
    <row r="123" spans="1:54" ht="42" customHeight="1">
      <c r="A123" s="104" t="s">
        <v>52</v>
      </c>
      <c r="B123" s="105"/>
      <c r="C123" s="104" t="s">
        <v>53</v>
      </c>
      <c r="D123" s="106"/>
      <c r="E123" s="106"/>
      <c r="F123" s="106"/>
      <c r="G123" s="106"/>
      <c r="H123" s="106"/>
      <c r="I123" s="106"/>
      <c r="J123" s="106"/>
      <c r="K123" s="105"/>
      <c r="L123" s="104" t="s">
        <v>54</v>
      </c>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5"/>
      <c r="AK123" s="107" t="s">
        <v>15</v>
      </c>
      <c r="AL123" s="108"/>
      <c r="AM123" s="108" t="s">
        <v>16</v>
      </c>
      <c r="AN123" s="108"/>
      <c r="AO123" s="108" t="s">
        <v>17</v>
      </c>
      <c r="AP123" s="108"/>
      <c r="AQ123" s="108" t="s">
        <v>18</v>
      </c>
      <c r="AR123" s="108"/>
      <c r="AS123" s="108" t="s">
        <v>19</v>
      </c>
      <c r="AT123" s="108"/>
      <c r="AU123" s="108" t="s">
        <v>20</v>
      </c>
      <c r="AV123" s="108"/>
      <c r="AW123" s="108" t="s">
        <v>21</v>
      </c>
      <c r="AX123" s="108"/>
      <c r="AY123" s="108" t="s">
        <v>22</v>
      </c>
      <c r="AZ123" s="108"/>
      <c r="BA123" s="108" t="s">
        <v>23</v>
      </c>
      <c r="BB123" s="109"/>
    </row>
    <row r="124" spans="1:54" ht="20.100000000000001" customHeight="1">
      <c r="A124" s="110">
        <v>9</v>
      </c>
      <c r="B124" s="111"/>
      <c r="C124" s="162">
        <v>44470</v>
      </c>
      <c r="D124" s="162"/>
      <c r="E124" s="162"/>
      <c r="F124" s="162"/>
      <c r="G124" s="12" t="s">
        <v>55</v>
      </c>
      <c r="H124" s="162">
        <v>44713</v>
      </c>
      <c r="I124" s="162"/>
      <c r="J124" s="162"/>
      <c r="K124" s="177"/>
      <c r="L124" s="115" t="s">
        <v>56</v>
      </c>
      <c r="M124" s="116"/>
      <c r="N124" s="116"/>
      <c r="O124" s="116"/>
      <c r="P124" s="16" t="s">
        <v>93</v>
      </c>
      <c r="Q124" s="16"/>
      <c r="R124" s="16"/>
      <c r="S124" s="16"/>
      <c r="T124" s="16"/>
      <c r="U124" s="16"/>
      <c r="V124" s="16"/>
      <c r="W124" s="16"/>
      <c r="X124" s="16"/>
      <c r="Y124" s="16"/>
      <c r="Z124" s="16"/>
      <c r="AA124" s="16"/>
      <c r="AB124" s="16"/>
      <c r="AC124" s="16"/>
      <c r="AD124" s="16"/>
      <c r="AE124" s="16"/>
      <c r="AF124" s="16"/>
      <c r="AG124" s="16"/>
      <c r="AH124" s="16"/>
      <c r="AI124" s="16"/>
      <c r="AJ124" s="17"/>
      <c r="AK124" s="163" t="s">
        <v>27</v>
      </c>
      <c r="AL124" s="164"/>
      <c r="AM124" s="167" t="s">
        <v>27</v>
      </c>
      <c r="AN124" s="164"/>
      <c r="AO124" s="167" t="s">
        <v>27</v>
      </c>
      <c r="AP124" s="164"/>
      <c r="AQ124" s="167" t="s">
        <v>27</v>
      </c>
      <c r="AR124" s="164"/>
      <c r="AS124" s="167" t="s">
        <v>29</v>
      </c>
      <c r="AT124" s="164"/>
      <c r="AU124" s="167" t="s">
        <v>27</v>
      </c>
      <c r="AV124" s="164"/>
      <c r="AW124" s="167" t="s">
        <v>27</v>
      </c>
      <c r="AX124" s="164"/>
      <c r="AY124" s="167" t="s">
        <v>27</v>
      </c>
      <c r="AZ124" s="164"/>
      <c r="BA124" s="169" t="s">
        <v>27</v>
      </c>
      <c r="BB124" s="170"/>
    </row>
    <row r="125" spans="1:54" ht="20.100000000000001" customHeight="1">
      <c r="A125" s="112"/>
      <c r="B125" s="113"/>
      <c r="C125" s="173" t="str">
        <f t="shared" ref="C125" ca="1" si="8">IF(H124="現在",IF(DATEDIF(C124,TODAY(),"YM")+1=12,DATEDIF(C124,TODAY(),"Y")+1&amp;"年",DATEDIF(C124,TODAY(),"Y")&amp;"年"&amp;DATEDIF(C124,TODAY(),"YM")+1&amp;"ヶ月"),IF(DATEDIF(C124,H124,"YM")+1=12,DATEDIF(C124,H124,"Y")+1&amp;"年",DATEDIF(C124,H124,"Y")&amp;"年"&amp;DATEDIF(C124,H124,"YM")+1&amp;"ヶ月"))</f>
        <v>0年9ヶ月</v>
      </c>
      <c r="D125" s="173"/>
      <c r="E125" s="173"/>
      <c r="F125" s="173"/>
      <c r="G125" s="173"/>
      <c r="H125" s="173"/>
      <c r="I125" s="173"/>
      <c r="J125" s="173"/>
      <c r="K125" s="174"/>
      <c r="L125" s="115" t="s">
        <v>58</v>
      </c>
      <c r="M125" s="116"/>
      <c r="N125" s="116"/>
      <c r="O125" s="116"/>
      <c r="P125" s="131" t="s">
        <v>59</v>
      </c>
      <c r="Q125" s="131"/>
      <c r="R125" s="131"/>
      <c r="S125" s="131"/>
      <c r="T125" s="131"/>
      <c r="U125" s="131"/>
      <c r="V125" s="131"/>
      <c r="W125" s="131"/>
      <c r="X125" s="131"/>
      <c r="Y125" s="131"/>
      <c r="Z125" s="131"/>
      <c r="AA125" s="131"/>
      <c r="AB125" s="132"/>
      <c r="AC125" s="115" t="s">
        <v>60</v>
      </c>
      <c r="AD125" s="116"/>
      <c r="AE125" s="116"/>
      <c r="AF125" s="116"/>
      <c r="AG125" s="175" t="s">
        <v>71</v>
      </c>
      <c r="AH125" s="175"/>
      <c r="AI125" s="175"/>
      <c r="AJ125" s="176"/>
      <c r="AK125" s="165"/>
      <c r="AL125" s="166"/>
      <c r="AM125" s="168"/>
      <c r="AN125" s="166"/>
      <c r="AO125" s="168"/>
      <c r="AP125" s="166"/>
      <c r="AQ125" s="168"/>
      <c r="AR125" s="166"/>
      <c r="AS125" s="168"/>
      <c r="AT125" s="166"/>
      <c r="AU125" s="168"/>
      <c r="AV125" s="166"/>
      <c r="AW125" s="168"/>
      <c r="AX125" s="166"/>
      <c r="AY125" s="168"/>
      <c r="AZ125" s="166"/>
      <c r="BA125" s="171"/>
      <c r="BB125" s="172"/>
    </row>
    <row r="126" spans="1:54" ht="20.100000000000001" customHeight="1">
      <c r="A126" s="112"/>
      <c r="B126" s="113"/>
      <c r="C126" s="135" t="s">
        <v>62</v>
      </c>
      <c r="D126" s="135"/>
      <c r="E126" s="135"/>
      <c r="F126" s="135"/>
      <c r="G126" s="135"/>
      <c r="H126" s="135"/>
      <c r="I126" s="135"/>
      <c r="J126" s="135"/>
      <c r="K126" s="135"/>
      <c r="L126" s="136" t="s">
        <v>63</v>
      </c>
      <c r="M126" s="137"/>
      <c r="N126" s="137"/>
      <c r="O126" s="137"/>
      <c r="P126" s="86" t="s">
        <v>94</v>
      </c>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c r="AQ126" s="86"/>
      <c r="AR126" s="86"/>
      <c r="AS126" s="86"/>
      <c r="AT126" s="86"/>
      <c r="AU126" s="86"/>
      <c r="AV126" s="86"/>
      <c r="AW126" s="86"/>
      <c r="AX126" s="86"/>
      <c r="AY126" s="86"/>
      <c r="AZ126" s="86"/>
      <c r="BA126" s="86"/>
      <c r="BB126" s="87"/>
    </row>
    <row r="127" spans="1:54" ht="21" customHeight="1">
      <c r="A127" s="112"/>
      <c r="B127" s="113"/>
      <c r="C127" s="88" t="s">
        <v>95</v>
      </c>
      <c r="D127" s="88"/>
      <c r="E127" s="88"/>
      <c r="F127" s="88"/>
      <c r="G127" s="88"/>
      <c r="H127" s="88"/>
      <c r="I127" s="88"/>
      <c r="J127" s="88"/>
      <c r="K127" s="89"/>
      <c r="L127" s="138"/>
      <c r="M127" s="139"/>
      <c r="N127" s="139"/>
      <c r="O127" s="139"/>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9"/>
    </row>
    <row r="128" spans="1:54" ht="21" customHeight="1">
      <c r="A128" s="112"/>
      <c r="B128" s="113"/>
      <c r="C128" s="88"/>
      <c r="D128" s="88"/>
      <c r="E128" s="88"/>
      <c r="F128" s="88"/>
      <c r="G128" s="88"/>
      <c r="H128" s="88"/>
      <c r="I128" s="88"/>
      <c r="J128" s="88"/>
      <c r="K128" s="89"/>
      <c r="L128" s="138"/>
      <c r="M128" s="139"/>
      <c r="N128" s="139"/>
      <c r="O128" s="139"/>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9"/>
    </row>
    <row r="129" spans="1:54" ht="21" customHeight="1">
      <c r="A129" s="112"/>
      <c r="B129" s="113"/>
      <c r="C129" s="88"/>
      <c r="D129" s="88"/>
      <c r="E129" s="88"/>
      <c r="F129" s="88"/>
      <c r="G129" s="88"/>
      <c r="H129" s="88"/>
      <c r="I129" s="88"/>
      <c r="J129" s="88"/>
      <c r="K129" s="89"/>
      <c r="L129" s="138"/>
      <c r="M129" s="139"/>
      <c r="N129" s="139"/>
      <c r="O129" s="139"/>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9"/>
    </row>
    <row r="130" spans="1:54" ht="21" customHeight="1">
      <c r="A130" s="112"/>
      <c r="B130" s="113"/>
      <c r="C130" s="88"/>
      <c r="D130" s="88"/>
      <c r="E130" s="88"/>
      <c r="F130" s="88"/>
      <c r="G130" s="88"/>
      <c r="H130" s="88"/>
      <c r="I130" s="88"/>
      <c r="J130" s="88"/>
      <c r="K130" s="89"/>
      <c r="L130" s="138"/>
      <c r="M130" s="139"/>
      <c r="N130" s="139"/>
      <c r="O130" s="139"/>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9"/>
    </row>
    <row r="131" spans="1:54" ht="21" customHeight="1">
      <c r="A131" s="112"/>
      <c r="B131" s="113"/>
      <c r="C131" s="88"/>
      <c r="D131" s="88"/>
      <c r="E131" s="88"/>
      <c r="F131" s="88"/>
      <c r="G131" s="88"/>
      <c r="H131" s="88"/>
      <c r="I131" s="88"/>
      <c r="J131" s="88"/>
      <c r="K131" s="89"/>
      <c r="L131" s="138"/>
      <c r="M131" s="139"/>
      <c r="N131" s="139"/>
      <c r="O131" s="139"/>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9"/>
    </row>
    <row r="132" spans="1:54" ht="21" customHeight="1">
      <c r="A132" s="112"/>
      <c r="B132" s="113"/>
      <c r="C132" s="88"/>
      <c r="D132" s="88"/>
      <c r="E132" s="88"/>
      <c r="F132" s="88"/>
      <c r="G132" s="88"/>
      <c r="H132" s="88"/>
      <c r="I132" s="88"/>
      <c r="J132" s="88"/>
      <c r="K132" s="89"/>
      <c r="L132" s="138"/>
      <c r="M132" s="139"/>
      <c r="N132" s="139"/>
      <c r="O132" s="139"/>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9"/>
    </row>
    <row r="133" spans="1:54" ht="21" customHeight="1">
      <c r="A133" s="112"/>
      <c r="B133" s="113"/>
      <c r="C133" s="88"/>
      <c r="D133" s="88"/>
      <c r="E133" s="88"/>
      <c r="F133" s="88"/>
      <c r="G133" s="88"/>
      <c r="H133" s="88"/>
      <c r="I133" s="88"/>
      <c r="J133" s="88"/>
      <c r="K133" s="89"/>
      <c r="L133" s="138"/>
      <c r="M133" s="139"/>
      <c r="N133" s="139"/>
      <c r="O133" s="139"/>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9"/>
    </row>
    <row r="134" spans="1:54" ht="21" customHeight="1">
      <c r="A134" s="112"/>
      <c r="B134" s="113"/>
      <c r="C134" s="88"/>
      <c r="D134" s="88"/>
      <c r="E134" s="88"/>
      <c r="F134" s="88"/>
      <c r="G134" s="88"/>
      <c r="H134" s="88"/>
      <c r="I134" s="88"/>
      <c r="J134" s="88"/>
      <c r="K134" s="89"/>
      <c r="L134" s="138"/>
      <c r="M134" s="139"/>
      <c r="N134" s="139"/>
      <c r="O134" s="139"/>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9"/>
    </row>
    <row r="135" spans="1:54" ht="42" customHeight="1">
      <c r="A135" s="104" t="s">
        <v>52</v>
      </c>
      <c r="B135" s="105"/>
      <c r="C135" s="104" t="s">
        <v>53</v>
      </c>
      <c r="D135" s="106"/>
      <c r="E135" s="106"/>
      <c r="F135" s="106"/>
      <c r="G135" s="106"/>
      <c r="H135" s="106"/>
      <c r="I135" s="106"/>
      <c r="J135" s="106"/>
      <c r="K135" s="105"/>
      <c r="L135" s="104" t="s">
        <v>54</v>
      </c>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5"/>
      <c r="AK135" s="107" t="s">
        <v>15</v>
      </c>
      <c r="AL135" s="108"/>
      <c r="AM135" s="108" t="s">
        <v>16</v>
      </c>
      <c r="AN135" s="108"/>
      <c r="AO135" s="108" t="s">
        <v>17</v>
      </c>
      <c r="AP135" s="108"/>
      <c r="AQ135" s="108" t="s">
        <v>18</v>
      </c>
      <c r="AR135" s="108"/>
      <c r="AS135" s="108" t="s">
        <v>19</v>
      </c>
      <c r="AT135" s="108"/>
      <c r="AU135" s="108" t="s">
        <v>20</v>
      </c>
      <c r="AV135" s="108"/>
      <c r="AW135" s="108" t="s">
        <v>21</v>
      </c>
      <c r="AX135" s="108"/>
      <c r="AY135" s="108" t="s">
        <v>22</v>
      </c>
      <c r="AZ135" s="108"/>
      <c r="BA135" s="108" t="s">
        <v>23</v>
      </c>
      <c r="BB135" s="109"/>
    </row>
    <row r="136" spans="1:54" ht="21" customHeight="1">
      <c r="A136" s="110">
        <v>10</v>
      </c>
      <c r="B136" s="111"/>
      <c r="C136" s="162">
        <v>44317</v>
      </c>
      <c r="D136" s="162"/>
      <c r="E136" s="162"/>
      <c r="F136" s="162"/>
      <c r="G136" s="12" t="s">
        <v>55</v>
      </c>
      <c r="H136" s="162">
        <v>44440</v>
      </c>
      <c r="I136" s="162"/>
      <c r="J136" s="162"/>
      <c r="K136" s="177"/>
      <c r="L136" s="115" t="s">
        <v>56</v>
      </c>
      <c r="M136" s="116"/>
      <c r="N136" s="116"/>
      <c r="O136" s="116"/>
      <c r="P136" s="16" t="s">
        <v>96</v>
      </c>
      <c r="Q136" s="16"/>
      <c r="R136" s="16"/>
      <c r="S136" s="16"/>
      <c r="T136" s="16"/>
      <c r="U136" s="16"/>
      <c r="V136" s="16"/>
      <c r="W136" s="16"/>
      <c r="X136" s="16"/>
      <c r="Y136" s="16"/>
      <c r="Z136" s="16"/>
      <c r="AA136" s="16"/>
      <c r="AB136" s="16"/>
      <c r="AC136" s="16"/>
      <c r="AD136" s="16"/>
      <c r="AE136" s="16"/>
      <c r="AF136" s="16"/>
      <c r="AG136" s="16"/>
      <c r="AH136" s="16"/>
      <c r="AI136" s="16"/>
      <c r="AJ136" s="17"/>
      <c r="AK136" s="163" t="s">
        <v>27</v>
      </c>
      <c r="AL136" s="164"/>
      <c r="AM136" s="167" t="s">
        <v>27</v>
      </c>
      <c r="AN136" s="164"/>
      <c r="AO136" s="167" t="s">
        <v>27</v>
      </c>
      <c r="AP136" s="164"/>
      <c r="AQ136" s="167" t="s">
        <v>27</v>
      </c>
      <c r="AR136" s="164"/>
      <c r="AS136" s="167" t="s">
        <v>29</v>
      </c>
      <c r="AT136" s="164"/>
      <c r="AU136" s="167" t="s">
        <v>27</v>
      </c>
      <c r="AV136" s="164"/>
      <c r="AW136" s="167" t="s">
        <v>27</v>
      </c>
      <c r="AX136" s="164"/>
      <c r="AY136" s="167" t="s">
        <v>27</v>
      </c>
      <c r="AZ136" s="164"/>
      <c r="BA136" s="169" t="s">
        <v>27</v>
      </c>
      <c r="BB136" s="170"/>
    </row>
    <row r="137" spans="1:54" ht="21" customHeight="1">
      <c r="A137" s="112"/>
      <c r="B137" s="113"/>
      <c r="C137" s="173" t="str">
        <f t="shared" ref="C137" ca="1" si="9">IF(H136="現在",IF(DATEDIF(C136,TODAY(),"YM")+1=12,DATEDIF(C136,TODAY(),"Y")+1&amp;"年",DATEDIF(C136,TODAY(),"Y")&amp;"年"&amp;DATEDIF(C136,TODAY(),"YM")+1&amp;"ヶ月"),IF(DATEDIF(C136,H136,"YM")+1=12,DATEDIF(C136,H136,"Y")+1&amp;"年",DATEDIF(C136,H136,"Y")&amp;"年"&amp;DATEDIF(C136,H136,"YM")+1&amp;"ヶ月"))</f>
        <v>0年5ヶ月</v>
      </c>
      <c r="D137" s="173"/>
      <c r="E137" s="173"/>
      <c r="F137" s="173"/>
      <c r="G137" s="173"/>
      <c r="H137" s="173"/>
      <c r="I137" s="173"/>
      <c r="J137" s="173"/>
      <c r="K137" s="174"/>
      <c r="L137" s="115" t="s">
        <v>58</v>
      </c>
      <c r="M137" s="116"/>
      <c r="N137" s="116"/>
      <c r="O137" s="116"/>
      <c r="P137" s="131" t="s">
        <v>59</v>
      </c>
      <c r="Q137" s="131"/>
      <c r="R137" s="131"/>
      <c r="S137" s="131"/>
      <c r="T137" s="131"/>
      <c r="U137" s="131"/>
      <c r="V137" s="131"/>
      <c r="W137" s="131"/>
      <c r="X137" s="131"/>
      <c r="Y137" s="131"/>
      <c r="Z137" s="131"/>
      <c r="AA137" s="131"/>
      <c r="AB137" s="132"/>
      <c r="AC137" s="115" t="s">
        <v>60</v>
      </c>
      <c r="AD137" s="116"/>
      <c r="AE137" s="116"/>
      <c r="AF137" s="116"/>
      <c r="AG137" s="175" t="s">
        <v>67</v>
      </c>
      <c r="AH137" s="175"/>
      <c r="AI137" s="175"/>
      <c r="AJ137" s="176"/>
      <c r="AK137" s="165"/>
      <c r="AL137" s="166"/>
      <c r="AM137" s="168"/>
      <c r="AN137" s="166"/>
      <c r="AO137" s="168"/>
      <c r="AP137" s="166"/>
      <c r="AQ137" s="168"/>
      <c r="AR137" s="166"/>
      <c r="AS137" s="168"/>
      <c r="AT137" s="166"/>
      <c r="AU137" s="168"/>
      <c r="AV137" s="166"/>
      <c r="AW137" s="168"/>
      <c r="AX137" s="166"/>
      <c r="AY137" s="168"/>
      <c r="AZ137" s="166"/>
      <c r="BA137" s="171"/>
      <c r="BB137" s="172"/>
    </row>
    <row r="138" spans="1:54" ht="21" customHeight="1">
      <c r="A138" s="112"/>
      <c r="B138" s="113"/>
      <c r="C138" s="135" t="s">
        <v>62</v>
      </c>
      <c r="D138" s="135"/>
      <c r="E138" s="135"/>
      <c r="F138" s="135"/>
      <c r="G138" s="135"/>
      <c r="H138" s="135"/>
      <c r="I138" s="135"/>
      <c r="J138" s="135"/>
      <c r="K138" s="135"/>
      <c r="L138" s="136" t="s">
        <v>63</v>
      </c>
      <c r="M138" s="137"/>
      <c r="N138" s="137"/>
      <c r="O138" s="137"/>
      <c r="P138" s="86" t="s">
        <v>97</v>
      </c>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c r="AQ138" s="86"/>
      <c r="AR138" s="86"/>
      <c r="AS138" s="86"/>
      <c r="AT138" s="86"/>
      <c r="AU138" s="86"/>
      <c r="AV138" s="86"/>
      <c r="AW138" s="86"/>
      <c r="AX138" s="86"/>
      <c r="AY138" s="86"/>
      <c r="AZ138" s="86"/>
      <c r="BA138" s="86"/>
      <c r="BB138" s="87"/>
    </row>
    <row r="139" spans="1:54" ht="20.100000000000001" customHeight="1">
      <c r="A139" s="112"/>
      <c r="B139" s="113"/>
      <c r="C139" s="88" t="s">
        <v>98</v>
      </c>
      <c r="D139" s="88"/>
      <c r="E139" s="88"/>
      <c r="F139" s="88"/>
      <c r="G139" s="88"/>
      <c r="H139" s="88"/>
      <c r="I139" s="88"/>
      <c r="J139" s="88"/>
      <c r="K139" s="89"/>
      <c r="L139" s="138"/>
      <c r="M139" s="139"/>
      <c r="N139" s="139"/>
      <c r="O139" s="139"/>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9"/>
    </row>
    <row r="140" spans="1:54" ht="20.100000000000001" customHeight="1">
      <c r="A140" s="112"/>
      <c r="B140" s="113"/>
      <c r="C140" s="88"/>
      <c r="D140" s="88"/>
      <c r="E140" s="88"/>
      <c r="F140" s="88"/>
      <c r="G140" s="88"/>
      <c r="H140" s="88"/>
      <c r="I140" s="88"/>
      <c r="J140" s="88"/>
      <c r="K140" s="89"/>
      <c r="L140" s="138"/>
      <c r="M140" s="139"/>
      <c r="N140" s="139"/>
      <c r="O140" s="139"/>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9"/>
    </row>
    <row r="141" spans="1:54" ht="20.100000000000001" customHeight="1">
      <c r="A141" s="112"/>
      <c r="B141" s="113"/>
      <c r="C141" s="88"/>
      <c r="D141" s="88"/>
      <c r="E141" s="88"/>
      <c r="F141" s="88"/>
      <c r="G141" s="88"/>
      <c r="H141" s="88"/>
      <c r="I141" s="88"/>
      <c r="J141" s="88"/>
      <c r="K141" s="89"/>
      <c r="L141" s="138"/>
      <c r="M141" s="139"/>
      <c r="N141" s="139"/>
      <c r="O141" s="139"/>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9"/>
    </row>
    <row r="142" spans="1:54" ht="20.100000000000001" customHeight="1">
      <c r="A142" s="112"/>
      <c r="B142" s="113"/>
      <c r="C142" s="88"/>
      <c r="D142" s="88"/>
      <c r="E142" s="88"/>
      <c r="F142" s="88"/>
      <c r="G142" s="88"/>
      <c r="H142" s="88"/>
      <c r="I142" s="88"/>
      <c r="J142" s="88"/>
      <c r="K142" s="89"/>
      <c r="L142" s="138"/>
      <c r="M142" s="139"/>
      <c r="N142" s="139"/>
      <c r="O142" s="139"/>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9"/>
    </row>
    <row r="143" spans="1:54" ht="20.100000000000001" customHeight="1">
      <c r="A143" s="112"/>
      <c r="B143" s="113"/>
      <c r="C143" s="88"/>
      <c r="D143" s="88"/>
      <c r="E143" s="88"/>
      <c r="F143" s="88"/>
      <c r="G143" s="88"/>
      <c r="H143" s="88"/>
      <c r="I143" s="88"/>
      <c r="J143" s="88"/>
      <c r="K143" s="89"/>
      <c r="L143" s="138"/>
      <c r="M143" s="139"/>
      <c r="N143" s="139"/>
      <c r="O143" s="139"/>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9"/>
    </row>
    <row r="144" spans="1:54" ht="20.100000000000001" customHeight="1">
      <c r="A144" s="112"/>
      <c r="B144" s="113"/>
      <c r="C144" s="88"/>
      <c r="D144" s="88"/>
      <c r="E144" s="88"/>
      <c r="F144" s="88"/>
      <c r="G144" s="88"/>
      <c r="H144" s="88"/>
      <c r="I144" s="88"/>
      <c r="J144" s="88"/>
      <c r="K144" s="89"/>
      <c r="L144" s="138"/>
      <c r="M144" s="139"/>
      <c r="N144" s="139"/>
      <c r="O144" s="139"/>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9"/>
    </row>
    <row r="145" spans="1:54" ht="20.100000000000001" customHeight="1">
      <c r="A145" s="112"/>
      <c r="B145" s="113"/>
      <c r="C145" s="88"/>
      <c r="D145" s="88"/>
      <c r="E145" s="88"/>
      <c r="F145" s="88"/>
      <c r="G145" s="88"/>
      <c r="H145" s="88"/>
      <c r="I145" s="88"/>
      <c r="J145" s="88"/>
      <c r="K145" s="89"/>
      <c r="L145" s="138"/>
      <c r="M145" s="139"/>
      <c r="N145" s="139"/>
      <c r="O145" s="139"/>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9"/>
    </row>
    <row r="146" spans="1:54" ht="14.45" customHeight="1">
      <c r="A146" s="112"/>
      <c r="B146" s="113"/>
      <c r="C146" s="88"/>
      <c r="D146" s="88"/>
      <c r="E146" s="88"/>
      <c r="F146" s="88"/>
      <c r="G146" s="88"/>
      <c r="H146" s="88"/>
      <c r="I146" s="88"/>
      <c r="J146" s="88"/>
      <c r="K146" s="89"/>
      <c r="L146" s="138"/>
      <c r="M146" s="139"/>
      <c r="N146" s="139"/>
      <c r="O146" s="139"/>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9"/>
    </row>
    <row r="147" spans="1:54" ht="42" customHeight="1">
      <c r="A147" s="104" t="s">
        <v>52</v>
      </c>
      <c r="B147" s="105"/>
      <c r="C147" s="104" t="s">
        <v>53</v>
      </c>
      <c r="D147" s="106"/>
      <c r="E147" s="106"/>
      <c r="F147" s="106"/>
      <c r="G147" s="106"/>
      <c r="H147" s="106"/>
      <c r="I147" s="106"/>
      <c r="J147" s="106"/>
      <c r="K147" s="105"/>
      <c r="L147" s="104" t="s">
        <v>54</v>
      </c>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5"/>
      <c r="AK147" s="107" t="s">
        <v>15</v>
      </c>
      <c r="AL147" s="108"/>
      <c r="AM147" s="108" t="s">
        <v>16</v>
      </c>
      <c r="AN147" s="108"/>
      <c r="AO147" s="108" t="s">
        <v>17</v>
      </c>
      <c r="AP147" s="108"/>
      <c r="AQ147" s="108" t="s">
        <v>18</v>
      </c>
      <c r="AR147" s="108"/>
      <c r="AS147" s="108" t="s">
        <v>19</v>
      </c>
      <c r="AT147" s="108"/>
      <c r="AU147" s="108" t="s">
        <v>20</v>
      </c>
      <c r="AV147" s="108"/>
      <c r="AW147" s="108" t="s">
        <v>21</v>
      </c>
      <c r="AX147" s="108"/>
      <c r="AY147" s="108" t="s">
        <v>22</v>
      </c>
      <c r="AZ147" s="108"/>
      <c r="BA147" s="108" t="s">
        <v>23</v>
      </c>
      <c r="BB147" s="109"/>
    </row>
    <row r="148" spans="1:54" ht="21" customHeight="1">
      <c r="A148" s="110">
        <v>11</v>
      </c>
      <c r="B148" s="111"/>
      <c r="C148" s="162">
        <v>43952</v>
      </c>
      <c r="D148" s="162"/>
      <c r="E148" s="162"/>
      <c r="F148" s="162"/>
      <c r="G148" s="12" t="s">
        <v>55</v>
      </c>
      <c r="H148" s="162">
        <v>44287</v>
      </c>
      <c r="I148" s="162"/>
      <c r="J148" s="162"/>
      <c r="K148" s="177"/>
      <c r="L148" s="115" t="s">
        <v>56</v>
      </c>
      <c r="M148" s="116"/>
      <c r="N148" s="116"/>
      <c r="O148" s="116"/>
      <c r="P148" s="16" t="s">
        <v>99</v>
      </c>
      <c r="Q148" s="16"/>
      <c r="R148" s="16"/>
      <c r="S148" s="16"/>
      <c r="T148" s="16"/>
      <c r="U148" s="16"/>
      <c r="V148" s="16"/>
      <c r="W148" s="16"/>
      <c r="X148" s="16"/>
      <c r="Y148" s="16"/>
      <c r="Z148" s="16"/>
      <c r="AA148" s="16"/>
      <c r="AB148" s="16"/>
      <c r="AC148" s="16"/>
      <c r="AD148" s="16"/>
      <c r="AE148" s="16"/>
      <c r="AF148" s="16"/>
      <c r="AG148" s="16"/>
      <c r="AH148" s="16"/>
      <c r="AI148" s="16"/>
      <c r="AJ148" s="17"/>
      <c r="AK148" s="163" t="s">
        <v>27</v>
      </c>
      <c r="AL148" s="164"/>
      <c r="AM148" s="167" t="s">
        <v>27</v>
      </c>
      <c r="AN148" s="164"/>
      <c r="AO148" s="167" t="s">
        <v>27</v>
      </c>
      <c r="AP148" s="164"/>
      <c r="AQ148" s="167" t="s">
        <v>27</v>
      </c>
      <c r="AR148" s="164"/>
      <c r="AS148" s="167" t="s">
        <v>29</v>
      </c>
      <c r="AT148" s="164"/>
      <c r="AU148" s="167" t="s">
        <v>27</v>
      </c>
      <c r="AV148" s="164"/>
      <c r="AW148" s="167" t="s">
        <v>27</v>
      </c>
      <c r="AX148" s="164"/>
      <c r="AY148" s="167" t="s">
        <v>27</v>
      </c>
      <c r="AZ148" s="164"/>
      <c r="BA148" s="169" t="s">
        <v>27</v>
      </c>
      <c r="BB148" s="170"/>
    </row>
    <row r="149" spans="1:54" ht="21" customHeight="1">
      <c r="A149" s="112"/>
      <c r="B149" s="113"/>
      <c r="C149" s="173" t="str">
        <f t="shared" ref="C149" ca="1" si="10">IF(H148="現在",IF(DATEDIF(C148,TODAY(),"YM")+1=12,DATEDIF(C148,TODAY(),"Y")+1&amp;"年",DATEDIF(C148,TODAY(),"Y")&amp;"年"&amp;DATEDIF(C148,TODAY(),"YM")+1&amp;"ヶ月"),IF(DATEDIF(C148,H148,"YM")+1=12,DATEDIF(C148,H148,"Y")+1&amp;"年",DATEDIF(C148,H148,"Y")&amp;"年"&amp;DATEDIF(C148,H148,"YM")+1&amp;"ヶ月"))</f>
        <v>1年</v>
      </c>
      <c r="D149" s="173"/>
      <c r="E149" s="173"/>
      <c r="F149" s="173"/>
      <c r="G149" s="173"/>
      <c r="H149" s="173"/>
      <c r="I149" s="173"/>
      <c r="J149" s="173"/>
      <c r="K149" s="174"/>
      <c r="L149" s="115" t="s">
        <v>58</v>
      </c>
      <c r="M149" s="116"/>
      <c r="N149" s="116"/>
      <c r="O149" s="116"/>
      <c r="P149" s="131" t="s">
        <v>59</v>
      </c>
      <c r="Q149" s="131"/>
      <c r="R149" s="131"/>
      <c r="S149" s="131"/>
      <c r="T149" s="131"/>
      <c r="U149" s="131"/>
      <c r="V149" s="131"/>
      <c r="W149" s="131"/>
      <c r="X149" s="131"/>
      <c r="Y149" s="131"/>
      <c r="Z149" s="131"/>
      <c r="AA149" s="131"/>
      <c r="AB149" s="132"/>
      <c r="AC149" s="115" t="s">
        <v>60</v>
      </c>
      <c r="AD149" s="116"/>
      <c r="AE149" s="116"/>
      <c r="AF149" s="116"/>
      <c r="AG149" s="175" t="s">
        <v>100</v>
      </c>
      <c r="AH149" s="175"/>
      <c r="AI149" s="175"/>
      <c r="AJ149" s="176"/>
      <c r="AK149" s="165"/>
      <c r="AL149" s="166"/>
      <c r="AM149" s="168"/>
      <c r="AN149" s="166"/>
      <c r="AO149" s="168"/>
      <c r="AP149" s="166"/>
      <c r="AQ149" s="168"/>
      <c r="AR149" s="166"/>
      <c r="AS149" s="168"/>
      <c r="AT149" s="166"/>
      <c r="AU149" s="168"/>
      <c r="AV149" s="166"/>
      <c r="AW149" s="168"/>
      <c r="AX149" s="166"/>
      <c r="AY149" s="168"/>
      <c r="AZ149" s="166"/>
      <c r="BA149" s="171"/>
      <c r="BB149" s="172"/>
    </row>
    <row r="150" spans="1:54" ht="21" customHeight="1">
      <c r="A150" s="112"/>
      <c r="B150" s="113"/>
      <c r="C150" s="135" t="s">
        <v>62</v>
      </c>
      <c r="D150" s="135"/>
      <c r="E150" s="135"/>
      <c r="F150" s="135"/>
      <c r="G150" s="135"/>
      <c r="H150" s="135"/>
      <c r="I150" s="135"/>
      <c r="J150" s="135"/>
      <c r="K150" s="135"/>
      <c r="L150" s="136" t="s">
        <v>63</v>
      </c>
      <c r="M150" s="137"/>
      <c r="N150" s="137"/>
      <c r="O150" s="137"/>
      <c r="P150" s="86" t="s">
        <v>101</v>
      </c>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c r="AQ150" s="86"/>
      <c r="AR150" s="86"/>
      <c r="AS150" s="86"/>
      <c r="AT150" s="86"/>
      <c r="AU150" s="86"/>
      <c r="AV150" s="86"/>
      <c r="AW150" s="86"/>
      <c r="AX150" s="86"/>
      <c r="AY150" s="86"/>
      <c r="AZ150" s="86"/>
      <c r="BA150" s="86"/>
      <c r="BB150" s="87"/>
    </row>
    <row r="151" spans="1:54" ht="20.100000000000001" customHeight="1">
      <c r="A151" s="112"/>
      <c r="B151" s="113"/>
      <c r="C151" s="88" t="s">
        <v>102</v>
      </c>
      <c r="D151" s="88"/>
      <c r="E151" s="88"/>
      <c r="F151" s="88"/>
      <c r="G151" s="88"/>
      <c r="H151" s="88"/>
      <c r="I151" s="88"/>
      <c r="J151" s="88"/>
      <c r="K151" s="89"/>
      <c r="L151" s="138"/>
      <c r="M151" s="139"/>
      <c r="N151" s="139"/>
      <c r="O151" s="139"/>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9"/>
    </row>
    <row r="152" spans="1:54" ht="20.100000000000001" customHeight="1">
      <c r="A152" s="112"/>
      <c r="B152" s="113"/>
      <c r="C152" s="88"/>
      <c r="D152" s="88"/>
      <c r="E152" s="88"/>
      <c r="F152" s="88"/>
      <c r="G152" s="88"/>
      <c r="H152" s="88"/>
      <c r="I152" s="88"/>
      <c r="J152" s="88"/>
      <c r="K152" s="89"/>
      <c r="L152" s="138"/>
      <c r="M152" s="139"/>
      <c r="N152" s="139"/>
      <c r="O152" s="139"/>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9"/>
    </row>
    <row r="153" spans="1:54" ht="20.100000000000001" customHeight="1">
      <c r="A153" s="112"/>
      <c r="B153" s="113"/>
      <c r="C153" s="88"/>
      <c r="D153" s="88"/>
      <c r="E153" s="88"/>
      <c r="F153" s="88"/>
      <c r="G153" s="88"/>
      <c r="H153" s="88"/>
      <c r="I153" s="88"/>
      <c r="J153" s="88"/>
      <c r="K153" s="89"/>
      <c r="L153" s="138"/>
      <c r="M153" s="139"/>
      <c r="N153" s="139"/>
      <c r="O153" s="139"/>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9"/>
    </row>
    <row r="154" spans="1:54" ht="20.100000000000001" customHeight="1">
      <c r="A154" s="112"/>
      <c r="B154" s="113"/>
      <c r="C154" s="88"/>
      <c r="D154" s="88"/>
      <c r="E154" s="88"/>
      <c r="F154" s="88"/>
      <c r="G154" s="88"/>
      <c r="H154" s="88"/>
      <c r="I154" s="88"/>
      <c r="J154" s="88"/>
      <c r="K154" s="89"/>
      <c r="L154" s="138"/>
      <c r="M154" s="139"/>
      <c r="N154" s="139"/>
      <c r="O154" s="139"/>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9"/>
    </row>
    <row r="155" spans="1:54" ht="20.100000000000001" customHeight="1">
      <c r="A155" s="112"/>
      <c r="B155" s="113"/>
      <c r="C155" s="88"/>
      <c r="D155" s="88"/>
      <c r="E155" s="88"/>
      <c r="F155" s="88"/>
      <c r="G155" s="88"/>
      <c r="H155" s="88"/>
      <c r="I155" s="88"/>
      <c r="J155" s="88"/>
      <c r="K155" s="89"/>
      <c r="L155" s="138"/>
      <c r="M155" s="139"/>
      <c r="N155" s="139"/>
      <c r="O155" s="139"/>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9"/>
    </row>
    <row r="156" spans="1:54" ht="20.100000000000001" customHeight="1">
      <c r="A156" s="112"/>
      <c r="B156" s="113"/>
      <c r="C156" s="88"/>
      <c r="D156" s="88"/>
      <c r="E156" s="88"/>
      <c r="F156" s="88"/>
      <c r="G156" s="88"/>
      <c r="H156" s="88"/>
      <c r="I156" s="88"/>
      <c r="J156" s="88"/>
      <c r="K156" s="89"/>
      <c r="L156" s="138"/>
      <c r="M156" s="139"/>
      <c r="N156" s="139"/>
      <c r="O156" s="139"/>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9"/>
    </row>
    <row r="157" spans="1:54" ht="17.100000000000001" customHeight="1">
      <c r="A157" s="112"/>
      <c r="B157" s="113"/>
      <c r="C157" s="88"/>
      <c r="D157" s="88"/>
      <c r="E157" s="88"/>
      <c r="F157" s="88"/>
      <c r="G157" s="88"/>
      <c r="H157" s="88"/>
      <c r="I157" s="88"/>
      <c r="J157" s="88"/>
      <c r="K157" s="89"/>
      <c r="L157" s="138"/>
      <c r="M157" s="139"/>
      <c r="N157" s="139"/>
      <c r="O157" s="139"/>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9"/>
    </row>
    <row r="158" spans="1:54" ht="24" customHeight="1">
      <c r="A158" s="112"/>
      <c r="B158" s="113"/>
      <c r="C158" s="88"/>
      <c r="D158" s="88"/>
      <c r="E158" s="88"/>
      <c r="F158" s="88"/>
      <c r="G158" s="88"/>
      <c r="H158" s="88"/>
      <c r="I158" s="88"/>
      <c r="J158" s="88"/>
      <c r="K158" s="89"/>
      <c r="L158" s="138"/>
      <c r="M158" s="139"/>
      <c r="N158" s="139"/>
      <c r="O158" s="139"/>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9"/>
    </row>
    <row r="159" spans="1:54" ht="42" customHeight="1">
      <c r="A159" s="104" t="s">
        <v>52</v>
      </c>
      <c r="B159" s="105"/>
      <c r="C159" s="104" t="s">
        <v>53</v>
      </c>
      <c r="D159" s="106"/>
      <c r="E159" s="106"/>
      <c r="F159" s="106"/>
      <c r="G159" s="106"/>
      <c r="H159" s="106"/>
      <c r="I159" s="106"/>
      <c r="J159" s="106"/>
      <c r="K159" s="105"/>
      <c r="L159" s="104" t="s">
        <v>54</v>
      </c>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5"/>
      <c r="AK159" s="107" t="s">
        <v>15</v>
      </c>
      <c r="AL159" s="108"/>
      <c r="AM159" s="108" t="s">
        <v>16</v>
      </c>
      <c r="AN159" s="108"/>
      <c r="AO159" s="108" t="s">
        <v>17</v>
      </c>
      <c r="AP159" s="108"/>
      <c r="AQ159" s="108" t="s">
        <v>18</v>
      </c>
      <c r="AR159" s="108"/>
      <c r="AS159" s="108" t="s">
        <v>19</v>
      </c>
      <c r="AT159" s="108"/>
      <c r="AU159" s="108" t="s">
        <v>20</v>
      </c>
      <c r="AV159" s="108"/>
      <c r="AW159" s="108" t="s">
        <v>21</v>
      </c>
      <c r="AX159" s="108"/>
      <c r="AY159" s="108" t="s">
        <v>22</v>
      </c>
      <c r="AZ159" s="108"/>
      <c r="BA159" s="108" t="s">
        <v>23</v>
      </c>
      <c r="BB159" s="109"/>
    </row>
    <row r="160" spans="1:54" ht="21" customHeight="1">
      <c r="A160" s="110">
        <v>12</v>
      </c>
      <c r="B160" s="111"/>
      <c r="C160" s="162">
        <v>43739</v>
      </c>
      <c r="D160" s="162"/>
      <c r="E160" s="162"/>
      <c r="F160" s="162"/>
      <c r="G160" s="12" t="s">
        <v>55</v>
      </c>
      <c r="H160" s="162">
        <v>43922</v>
      </c>
      <c r="I160" s="162"/>
      <c r="J160" s="162"/>
      <c r="K160" s="177"/>
      <c r="L160" s="115" t="s">
        <v>56</v>
      </c>
      <c r="M160" s="116"/>
      <c r="N160" s="116"/>
      <c r="O160" s="116"/>
      <c r="P160" s="16" t="s">
        <v>103</v>
      </c>
      <c r="Q160" s="16"/>
      <c r="R160" s="16"/>
      <c r="S160" s="16"/>
      <c r="T160" s="16"/>
      <c r="U160" s="16"/>
      <c r="V160" s="16"/>
      <c r="W160" s="16"/>
      <c r="X160" s="16"/>
      <c r="Y160" s="16"/>
      <c r="Z160" s="16"/>
      <c r="AA160" s="16"/>
      <c r="AB160" s="16"/>
      <c r="AC160" s="16"/>
      <c r="AD160" s="16"/>
      <c r="AE160" s="16"/>
      <c r="AF160" s="16"/>
      <c r="AG160" s="16"/>
      <c r="AH160" s="16"/>
      <c r="AI160" s="16"/>
      <c r="AJ160" s="17"/>
      <c r="AK160" s="163" t="s">
        <v>27</v>
      </c>
      <c r="AL160" s="164"/>
      <c r="AM160" s="167" t="s">
        <v>27</v>
      </c>
      <c r="AN160" s="164"/>
      <c r="AO160" s="167" t="s">
        <v>27</v>
      </c>
      <c r="AP160" s="164"/>
      <c r="AQ160" s="167" t="s">
        <v>27</v>
      </c>
      <c r="AR160" s="164"/>
      <c r="AS160" s="167" t="s">
        <v>27</v>
      </c>
      <c r="AT160" s="164"/>
      <c r="AU160" s="167" t="s">
        <v>27</v>
      </c>
      <c r="AV160" s="164"/>
      <c r="AW160" s="167" t="s">
        <v>27</v>
      </c>
      <c r="AX160" s="164"/>
      <c r="AY160" s="167" t="s">
        <v>27</v>
      </c>
      <c r="AZ160" s="164"/>
      <c r="BA160" s="169" t="s">
        <v>28</v>
      </c>
      <c r="BB160" s="170"/>
    </row>
    <row r="161" spans="1:54" ht="21" customHeight="1">
      <c r="A161" s="112"/>
      <c r="B161" s="113"/>
      <c r="C161" s="173" t="str">
        <f t="shared" ref="C161" ca="1" si="11">IF(H160="現在",IF(DATEDIF(C160,TODAY(),"YM")+1=12,DATEDIF(C160,TODAY(),"Y")+1&amp;"年",DATEDIF(C160,TODAY(),"Y")&amp;"年"&amp;DATEDIF(C160,TODAY(),"YM")+1&amp;"ヶ月"),IF(DATEDIF(C160,H160,"YM")+1=12,DATEDIF(C160,H160,"Y")+1&amp;"年",DATEDIF(C160,H160,"Y")&amp;"年"&amp;DATEDIF(C160,H160,"YM")+1&amp;"ヶ月"))</f>
        <v>0年7ヶ月</v>
      </c>
      <c r="D161" s="173"/>
      <c r="E161" s="173"/>
      <c r="F161" s="173"/>
      <c r="G161" s="173"/>
      <c r="H161" s="173"/>
      <c r="I161" s="173"/>
      <c r="J161" s="173"/>
      <c r="K161" s="174"/>
      <c r="L161" s="115" t="s">
        <v>58</v>
      </c>
      <c r="M161" s="116"/>
      <c r="N161" s="116"/>
      <c r="O161" s="116"/>
      <c r="P161" s="131" t="s">
        <v>59</v>
      </c>
      <c r="Q161" s="131"/>
      <c r="R161" s="131"/>
      <c r="S161" s="131"/>
      <c r="T161" s="131"/>
      <c r="U161" s="131"/>
      <c r="V161" s="131"/>
      <c r="W161" s="131"/>
      <c r="X161" s="131"/>
      <c r="Y161" s="131"/>
      <c r="Z161" s="131"/>
      <c r="AA161" s="131"/>
      <c r="AB161" s="132"/>
      <c r="AC161" s="115" t="s">
        <v>60</v>
      </c>
      <c r="AD161" s="116"/>
      <c r="AE161" s="116"/>
      <c r="AF161" s="116"/>
      <c r="AG161" s="175" t="s">
        <v>104</v>
      </c>
      <c r="AH161" s="175"/>
      <c r="AI161" s="175"/>
      <c r="AJ161" s="176"/>
      <c r="AK161" s="165"/>
      <c r="AL161" s="166"/>
      <c r="AM161" s="168"/>
      <c r="AN161" s="166"/>
      <c r="AO161" s="168"/>
      <c r="AP161" s="166"/>
      <c r="AQ161" s="168"/>
      <c r="AR161" s="166"/>
      <c r="AS161" s="168"/>
      <c r="AT161" s="166"/>
      <c r="AU161" s="168"/>
      <c r="AV161" s="166"/>
      <c r="AW161" s="168"/>
      <c r="AX161" s="166"/>
      <c r="AY161" s="168"/>
      <c r="AZ161" s="166"/>
      <c r="BA161" s="171"/>
      <c r="BB161" s="172"/>
    </row>
    <row r="162" spans="1:54" ht="21" customHeight="1">
      <c r="A162" s="112"/>
      <c r="B162" s="113"/>
      <c r="C162" s="135" t="s">
        <v>62</v>
      </c>
      <c r="D162" s="135"/>
      <c r="E162" s="135"/>
      <c r="F162" s="135"/>
      <c r="G162" s="135"/>
      <c r="H162" s="135"/>
      <c r="I162" s="135"/>
      <c r="J162" s="135"/>
      <c r="K162" s="135"/>
      <c r="L162" s="136" t="s">
        <v>63</v>
      </c>
      <c r="M162" s="137"/>
      <c r="N162" s="137"/>
      <c r="O162" s="137"/>
      <c r="P162" s="86" t="s">
        <v>105</v>
      </c>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c r="AQ162" s="86"/>
      <c r="AR162" s="86"/>
      <c r="AS162" s="86"/>
      <c r="AT162" s="86"/>
      <c r="AU162" s="86"/>
      <c r="AV162" s="86"/>
      <c r="AW162" s="86"/>
      <c r="AX162" s="86"/>
      <c r="AY162" s="86"/>
      <c r="AZ162" s="86"/>
      <c r="BA162" s="86"/>
      <c r="BB162" s="87"/>
    </row>
    <row r="163" spans="1:54" ht="34.5" customHeight="1">
      <c r="A163" s="112"/>
      <c r="B163" s="113"/>
      <c r="C163" s="88" t="s">
        <v>106</v>
      </c>
      <c r="D163" s="88"/>
      <c r="E163" s="88"/>
      <c r="F163" s="88"/>
      <c r="G163" s="88"/>
      <c r="H163" s="88"/>
      <c r="I163" s="88"/>
      <c r="J163" s="88"/>
      <c r="K163" s="89"/>
      <c r="L163" s="138"/>
      <c r="M163" s="139"/>
      <c r="N163" s="139"/>
      <c r="O163" s="139"/>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9"/>
    </row>
    <row r="164" spans="1:54" ht="34.5" customHeight="1">
      <c r="A164" s="112"/>
      <c r="B164" s="113"/>
      <c r="C164" s="88"/>
      <c r="D164" s="88"/>
      <c r="E164" s="88"/>
      <c r="F164" s="88"/>
      <c r="G164" s="88"/>
      <c r="H164" s="88"/>
      <c r="I164" s="88"/>
      <c r="J164" s="88"/>
      <c r="K164" s="89"/>
      <c r="L164" s="138"/>
      <c r="M164" s="139"/>
      <c r="N164" s="139"/>
      <c r="O164" s="139"/>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9"/>
    </row>
    <row r="165" spans="1:54" ht="34.5" customHeight="1">
      <c r="A165" s="112"/>
      <c r="B165" s="113"/>
      <c r="C165" s="88"/>
      <c r="D165" s="88"/>
      <c r="E165" s="88"/>
      <c r="F165" s="88"/>
      <c r="G165" s="88"/>
      <c r="H165" s="88"/>
      <c r="I165" s="88"/>
      <c r="J165" s="88"/>
      <c r="K165" s="89"/>
      <c r="L165" s="138"/>
      <c r="M165" s="139"/>
      <c r="N165" s="139"/>
      <c r="O165" s="139"/>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9"/>
    </row>
    <row r="166" spans="1:54" ht="34.5" customHeight="1">
      <c r="A166" s="112"/>
      <c r="B166" s="113"/>
      <c r="C166" s="88"/>
      <c r="D166" s="88"/>
      <c r="E166" s="88"/>
      <c r="F166" s="88"/>
      <c r="G166" s="88"/>
      <c r="H166" s="88"/>
      <c r="I166" s="88"/>
      <c r="J166" s="88"/>
      <c r="K166" s="89"/>
      <c r="L166" s="138"/>
      <c r="M166" s="139"/>
      <c r="N166" s="139"/>
      <c r="O166" s="139"/>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9"/>
    </row>
    <row r="167" spans="1:54" ht="34.5" customHeight="1">
      <c r="A167" s="112"/>
      <c r="B167" s="113"/>
      <c r="C167" s="88"/>
      <c r="D167" s="88"/>
      <c r="E167" s="88"/>
      <c r="F167" s="88"/>
      <c r="G167" s="88"/>
      <c r="H167" s="88"/>
      <c r="I167" s="88"/>
      <c r="J167" s="88"/>
      <c r="K167" s="89"/>
      <c r="L167" s="138"/>
      <c r="M167" s="139"/>
      <c r="N167" s="139"/>
      <c r="O167" s="139"/>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9"/>
    </row>
    <row r="168" spans="1:54" ht="34.5" customHeight="1">
      <c r="A168" s="112"/>
      <c r="B168" s="113"/>
      <c r="C168" s="88"/>
      <c r="D168" s="88"/>
      <c r="E168" s="88"/>
      <c r="F168" s="88"/>
      <c r="G168" s="88"/>
      <c r="H168" s="88"/>
      <c r="I168" s="88"/>
      <c r="J168" s="88"/>
      <c r="K168" s="89"/>
      <c r="L168" s="138"/>
      <c r="M168" s="139"/>
      <c r="N168" s="139"/>
      <c r="O168" s="139"/>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9"/>
    </row>
    <row r="169" spans="1:54" ht="34.5" customHeight="1">
      <c r="A169" s="112"/>
      <c r="B169" s="113"/>
      <c r="C169" s="88"/>
      <c r="D169" s="88"/>
      <c r="E169" s="88"/>
      <c r="F169" s="88"/>
      <c r="G169" s="88"/>
      <c r="H169" s="88"/>
      <c r="I169" s="88"/>
      <c r="J169" s="88"/>
      <c r="K169" s="89"/>
      <c r="L169" s="138"/>
      <c r="M169" s="139"/>
      <c r="N169" s="139"/>
      <c r="O169" s="139"/>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9"/>
    </row>
    <row r="170" spans="1:54" ht="34.5" customHeight="1">
      <c r="A170" s="112"/>
      <c r="B170" s="113"/>
      <c r="C170" s="88"/>
      <c r="D170" s="88"/>
      <c r="E170" s="88"/>
      <c r="F170" s="88"/>
      <c r="G170" s="88"/>
      <c r="H170" s="88"/>
      <c r="I170" s="88"/>
      <c r="J170" s="88"/>
      <c r="K170" s="89"/>
      <c r="L170" s="138"/>
      <c r="M170" s="139"/>
      <c r="N170" s="139"/>
      <c r="O170" s="139"/>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9"/>
    </row>
    <row r="171" spans="1:54" ht="42" customHeight="1">
      <c r="A171" s="104" t="s">
        <v>52</v>
      </c>
      <c r="B171" s="105"/>
      <c r="C171" s="104" t="s">
        <v>53</v>
      </c>
      <c r="D171" s="106"/>
      <c r="E171" s="106"/>
      <c r="F171" s="106"/>
      <c r="G171" s="106"/>
      <c r="H171" s="106"/>
      <c r="I171" s="106"/>
      <c r="J171" s="106"/>
      <c r="K171" s="105"/>
      <c r="L171" s="104" t="s">
        <v>54</v>
      </c>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5"/>
      <c r="AK171" s="107" t="s">
        <v>15</v>
      </c>
      <c r="AL171" s="108"/>
      <c r="AM171" s="108" t="s">
        <v>16</v>
      </c>
      <c r="AN171" s="108"/>
      <c r="AO171" s="108" t="s">
        <v>17</v>
      </c>
      <c r="AP171" s="108"/>
      <c r="AQ171" s="108" t="s">
        <v>18</v>
      </c>
      <c r="AR171" s="108"/>
      <c r="AS171" s="108" t="s">
        <v>19</v>
      </c>
      <c r="AT171" s="108"/>
      <c r="AU171" s="108" t="s">
        <v>20</v>
      </c>
      <c r="AV171" s="108"/>
      <c r="AW171" s="108" t="s">
        <v>21</v>
      </c>
      <c r="AX171" s="108"/>
      <c r="AY171" s="108" t="s">
        <v>22</v>
      </c>
      <c r="AZ171" s="108"/>
      <c r="BA171" s="108" t="s">
        <v>23</v>
      </c>
      <c r="BB171" s="109"/>
    </row>
    <row r="172" spans="1:54" ht="21" customHeight="1">
      <c r="A172" s="110">
        <v>13</v>
      </c>
      <c r="B172" s="111"/>
      <c r="C172" s="162">
        <v>43070</v>
      </c>
      <c r="D172" s="162"/>
      <c r="E172" s="162"/>
      <c r="F172" s="162"/>
      <c r="G172" s="12" t="s">
        <v>55</v>
      </c>
      <c r="H172" s="162">
        <v>43709</v>
      </c>
      <c r="I172" s="162"/>
      <c r="J172" s="162"/>
      <c r="K172" s="177"/>
      <c r="L172" s="115" t="s">
        <v>56</v>
      </c>
      <c r="M172" s="116"/>
      <c r="N172" s="116"/>
      <c r="O172" s="116"/>
      <c r="P172" s="16" t="s">
        <v>107</v>
      </c>
      <c r="Q172" s="16"/>
      <c r="R172" s="16"/>
      <c r="S172" s="16"/>
      <c r="T172" s="16"/>
      <c r="U172" s="16"/>
      <c r="V172" s="16"/>
      <c r="W172" s="16"/>
      <c r="X172" s="16"/>
      <c r="Y172" s="16"/>
      <c r="Z172" s="16"/>
      <c r="AA172" s="16"/>
      <c r="AB172" s="16"/>
      <c r="AC172" s="16"/>
      <c r="AD172" s="16"/>
      <c r="AE172" s="16"/>
      <c r="AF172" s="16"/>
      <c r="AG172" s="16"/>
      <c r="AH172" s="16"/>
      <c r="AI172" s="16"/>
      <c r="AJ172" s="17"/>
      <c r="AK172" s="163" t="s">
        <v>27</v>
      </c>
      <c r="AL172" s="164"/>
      <c r="AM172" s="167" t="s">
        <v>28</v>
      </c>
      <c r="AN172" s="164"/>
      <c r="AO172" s="167" t="s">
        <v>28</v>
      </c>
      <c r="AP172" s="164"/>
      <c r="AQ172" s="167" t="s">
        <v>28</v>
      </c>
      <c r="AR172" s="164"/>
      <c r="AS172" s="167" t="s">
        <v>29</v>
      </c>
      <c r="AT172" s="164"/>
      <c r="AU172" s="167" t="s">
        <v>29</v>
      </c>
      <c r="AV172" s="164"/>
      <c r="AW172" s="167" t="s">
        <v>29</v>
      </c>
      <c r="AX172" s="164"/>
      <c r="AY172" s="167" t="s">
        <v>27</v>
      </c>
      <c r="AZ172" s="164"/>
      <c r="BA172" s="169" t="s">
        <v>29</v>
      </c>
      <c r="BB172" s="170"/>
    </row>
    <row r="173" spans="1:54" ht="21" customHeight="1">
      <c r="A173" s="112"/>
      <c r="B173" s="113"/>
      <c r="C173" s="173" t="str">
        <f t="shared" ref="C173" ca="1" si="12">IF(H172="現在",IF(DATEDIF(C172,TODAY(),"YM")+1=12,DATEDIF(C172,TODAY(),"Y")+1&amp;"年",DATEDIF(C172,TODAY(),"Y")&amp;"年"&amp;DATEDIF(C172,TODAY(),"YM")+1&amp;"ヶ月"),IF(DATEDIF(C172,H172,"YM")+1=12,DATEDIF(C172,H172,"Y")+1&amp;"年",DATEDIF(C172,H172,"Y")&amp;"年"&amp;DATEDIF(C172,H172,"YM")+1&amp;"ヶ月"))</f>
        <v>1年10ヶ月</v>
      </c>
      <c r="D173" s="173"/>
      <c r="E173" s="173"/>
      <c r="F173" s="173"/>
      <c r="G173" s="173"/>
      <c r="H173" s="173"/>
      <c r="I173" s="173"/>
      <c r="J173" s="173"/>
      <c r="K173" s="174"/>
      <c r="L173" s="115" t="s">
        <v>58</v>
      </c>
      <c r="M173" s="116"/>
      <c r="N173" s="116"/>
      <c r="O173" s="116"/>
      <c r="P173" s="131" t="s">
        <v>59</v>
      </c>
      <c r="Q173" s="131"/>
      <c r="R173" s="131"/>
      <c r="S173" s="131"/>
      <c r="T173" s="131"/>
      <c r="U173" s="131"/>
      <c r="V173" s="131"/>
      <c r="W173" s="131"/>
      <c r="X173" s="131"/>
      <c r="Y173" s="131"/>
      <c r="Z173" s="131"/>
      <c r="AA173" s="131"/>
      <c r="AB173" s="132"/>
      <c r="AC173" s="115" t="s">
        <v>60</v>
      </c>
      <c r="AD173" s="116"/>
      <c r="AE173" s="116"/>
      <c r="AF173" s="116"/>
      <c r="AG173" s="175" t="s">
        <v>83</v>
      </c>
      <c r="AH173" s="175"/>
      <c r="AI173" s="175"/>
      <c r="AJ173" s="176"/>
      <c r="AK173" s="165"/>
      <c r="AL173" s="166"/>
      <c r="AM173" s="168"/>
      <c r="AN173" s="166"/>
      <c r="AO173" s="168"/>
      <c r="AP173" s="166"/>
      <c r="AQ173" s="168"/>
      <c r="AR173" s="166"/>
      <c r="AS173" s="168"/>
      <c r="AT173" s="166"/>
      <c r="AU173" s="168"/>
      <c r="AV173" s="166"/>
      <c r="AW173" s="168"/>
      <c r="AX173" s="166"/>
      <c r="AY173" s="168"/>
      <c r="AZ173" s="166"/>
      <c r="BA173" s="171"/>
      <c r="BB173" s="172"/>
    </row>
    <row r="174" spans="1:54" ht="21" customHeight="1">
      <c r="A174" s="112"/>
      <c r="B174" s="113"/>
      <c r="C174" s="135" t="s">
        <v>62</v>
      </c>
      <c r="D174" s="135"/>
      <c r="E174" s="135"/>
      <c r="F174" s="135"/>
      <c r="G174" s="135"/>
      <c r="H174" s="135"/>
      <c r="I174" s="135"/>
      <c r="J174" s="135"/>
      <c r="K174" s="135"/>
      <c r="L174" s="136" t="s">
        <v>63</v>
      </c>
      <c r="M174" s="137"/>
      <c r="N174" s="137"/>
      <c r="O174" s="137"/>
      <c r="P174" s="86" t="s">
        <v>108</v>
      </c>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c r="AQ174" s="86"/>
      <c r="AR174" s="86"/>
      <c r="AS174" s="86"/>
      <c r="AT174" s="86"/>
      <c r="AU174" s="86"/>
      <c r="AV174" s="86"/>
      <c r="AW174" s="86"/>
      <c r="AX174" s="86"/>
      <c r="AY174" s="86"/>
      <c r="AZ174" s="86"/>
      <c r="BA174" s="86"/>
      <c r="BB174" s="87"/>
    </row>
    <row r="175" spans="1:54" ht="46.5" customHeight="1">
      <c r="A175" s="112"/>
      <c r="B175" s="113"/>
      <c r="C175" s="88" t="s">
        <v>109</v>
      </c>
      <c r="D175" s="88"/>
      <c r="E175" s="88"/>
      <c r="F175" s="88"/>
      <c r="G175" s="88"/>
      <c r="H175" s="88"/>
      <c r="I175" s="88"/>
      <c r="J175" s="88"/>
      <c r="K175" s="89"/>
      <c r="L175" s="138"/>
      <c r="M175" s="139"/>
      <c r="N175" s="139"/>
      <c r="O175" s="139"/>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9"/>
    </row>
    <row r="176" spans="1:54" ht="46.5" customHeight="1">
      <c r="A176" s="112"/>
      <c r="B176" s="113"/>
      <c r="C176" s="88"/>
      <c r="D176" s="88"/>
      <c r="E176" s="88"/>
      <c r="F176" s="88"/>
      <c r="G176" s="88"/>
      <c r="H176" s="88"/>
      <c r="I176" s="88"/>
      <c r="J176" s="88"/>
      <c r="K176" s="89"/>
      <c r="L176" s="138"/>
      <c r="M176" s="139"/>
      <c r="N176" s="139"/>
      <c r="O176" s="139"/>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9"/>
    </row>
    <row r="177" spans="1:54" ht="46.5" customHeight="1">
      <c r="A177" s="112"/>
      <c r="B177" s="113"/>
      <c r="C177" s="88"/>
      <c r="D177" s="88"/>
      <c r="E177" s="88"/>
      <c r="F177" s="88"/>
      <c r="G177" s="88"/>
      <c r="H177" s="88"/>
      <c r="I177" s="88"/>
      <c r="J177" s="88"/>
      <c r="K177" s="89"/>
      <c r="L177" s="138"/>
      <c r="M177" s="139"/>
      <c r="N177" s="139"/>
      <c r="O177" s="139"/>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9"/>
    </row>
    <row r="178" spans="1:54" ht="46.5" customHeight="1">
      <c r="A178" s="112"/>
      <c r="B178" s="113"/>
      <c r="C178" s="88"/>
      <c r="D178" s="88"/>
      <c r="E178" s="88"/>
      <c r="F178" s="88"/>
      <c r="G178" s="88"/>
      <c r="H178" s="88"/>
      <c r="I178" s="88"/>
      <c r="J178" s="88"/>
      <c r="K178" s="89"/>
      <c r="L178" s="138"/>
      <c r="M178" s="139"/>
      <c r="N178" s="139"/>
      <c r="O178" s="139"/>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9"/>
    </row>
    <row r="179" spans="1:54" ht="46.5" customHeight="1">
      <c r="A179" s="112"/>
      <c r="B179" s="113"/>
      <c r="C179" s="88"/>
      <c r="D179" s="88"/>
      <c r="E179" s="88"/>
      <c r="F179" s="88"/>
      <c r="G179" s="88"/>
      <c r="H179" s="88"/>
      <c r="I179" s="88"/>
      <c r="J179" s="88"/>
      <c r="K179" s="89"/>
      <c r="L179" s="138"/>
      <c r="M179" s="139"/>
      <c r="N179" s="139"/>
      <c r="O179" s="139"/>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9"/>
    </row>
    <row r="180" spans="1:54" ht="46.5" customHeight="1">
      <c r="A180" s="112"/>
      <c r="B180" s="113"/>
      <c r="C180" s="88"/>
      <c r="D180" s="88"/>
      <c r="E180" s="88"/>
      <c r="F180" s="88"/>
      <c r="G180" s="88"/>
      <c r="H180" s="88"/>
      <c r="I180" s="88"/>
      <c r="J180" s="88"/>
      <c r="K180" s="89"/>
      <c r="L180" s="138"/>
      <c r="M180" s="139"/>
      <c r="N180" s="139"/>
      <c r="O180" s="139"/>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9"/>
    </row>
    <row r="181" spans="1:54" ht="46.5" customHeight="1">
      <c r="A181" s="112"/>
      <c r="B181" s="113"/>
      <c r="C181" s="88"/>
      <c r="D181" s="88"/>
      <c r="E181" s="88"/>
      <c r="F181" s="88"/>
      <c r="G181" s="88"/>
      <c r="H181" s="88"/>
      <c r="I181" s="88"/>
      <c r="J181" s="88"/>
      <c r="K181" s="89"/>
      <c r="L181" s="138"/>
      <c r="M181" s="139"/>
      <c r="N181" s="139"/>
      <c r="O181" s="139"/>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9"/>
    </row>
    <row r="182" spans="1:54" ht="46.5" customHeight="1">
      <c r="A182" s="112"/>
      <c r="B182" s="113"/>
      <c r="C182" s="88"/>
      <c r="D182" s="88"/>
      <c r="E182" s="88"/>
      <c r="F182" s="88"/>
      <c r="G182" s="88"/>
      <c r="H182" s="88"/>
      <c r="I182" s="88"/>
      <c r="J182" s="88"/>
      <c r="K182" s="89"/>
      <c r="L182" s="138"/>
      <c r="M182" s="139"/>
      <c r="N182" s="139"/>
      <c r="O182" s="139"/>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9"/>
    </row>
    <row r="183" spans="1:54" ht="46.5" customHeight="1">
      <c r="A183" s="112"/>
      <c r="B183" s="113"/>
      <c r="C183" s="88"/>
      <c r="D183" s="88"/>
      <c r="E183" s="88"/>
      <c r="F183" s="88"/>
      <c r="G183" s="88"/>
      <c r="H183" s="88"/>
      <c r="I183" s="88"/>
      <c r="J183" s="88"/>
      <c r="K183" s="89"/>
      <c r="L183" s="138"/>
      <c r="M183" s="139"/>
      <c r="N183" s="139"/>
      <c r="O183" s="139"/>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9"/>
    </row>
    <row r="184" spans="1:54" ht="46.5" customHeight="1">
      <c r="A184" s="112"/>
      <c r="B184" s="113"/>
      <c r="C184" s="88"/>
      <c r="D184" s="88"/>
      <c r="E184" s="88"/>
      <c r="F184" s="88"/>
      <c r="G184" s="88"/>
      <c r="H184" s="88"/>
      <c r="I184" s="88"/>
      <c r="J184" s="88"/>
      <c r="K184" s="89"/>
      <c r="L184" s="138"/>
      <c r="M184" s="139"/>
      <c r="N184" s="139"/>
      <c r="O184" s="139"/>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9"/>
    </row>
    <row r="185" spans="1:54" ht="46.5" customHeight="1">
      <c r="A185" s="112"/>
      <c r="B185" s="113"/>
      <c r="C185" s="88"/>
      <c r="D185" s="88"/>
      <c r="E185" s="88"/>
      <c r="F185" s="88"/>
      <c r="G185" s="88"/>
      <c r="H185" s="88"/>
      <c r="I185" s="88"/>
      <c r="J185" s="88"/>
      <c r="K185" s="89"/>
      <c r="L185" s="138"/>
      <c r="M185" s="139"/>
      <c r="N185" s="139"/>
      <c r="O185" s="139"/>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9"/>
    </row>
    <row r="186" spans="1:54" ht="46.5" customHeight="1">
      <c r="A186" s="112"/>
      <c r="B186" s="113"/>
      <c r="C186" s="88"/>
      <c r="D186" s="88"/>
      <c r="E186" s="88"/>
      <c r="F186" s="88"/>
      <c r="G186" s="88"/>
      <c r="H186" s="88"/>
      <c r="I186" s="88"/>
      <c r="J186" s="88"/>
      <c r="K186" s="89"/>
      <c r="L186" s="138"/>
      <c r="M186" s="139"/>
      <c r="N186" s="139"/>
      <c r="O186" s="139"/>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9"/>
    </row>
    <row r="187" spans="1:54" ht="46.5" customHeight="1">
      <c r="A187" s="112"/>
      <c r="B187" s="113"/>
      <c r="C187" s="88"/>
      <c r="D187" s="88"/>
      <c r="E187" s="88"/>
      <c r="F187" s="88"/>
      <c r="G187" s="88"/>
      <c r="H187" s="88"/>
      <c r="I187" s="88"/>
      <c r="J187" s="88"/>
      <c r="K187" s="89"/>
      <c r="L187" s="138"/>
      <c r="M187" s="139"/>
      <c r="N187" s="139"/>
      <c r="O187" s="139"/>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9"/>
    </row>
    <row r="188" spans="1:54" ht="46.5" customHeight="1">
      <c r="A188" s="112"/>
      <c r="B188" s="113"/>
      <c r="C188" s="88"/>
      <c r="D188" s="88"/>
      <c r="E188" s="88"/>
      <c r="F188" s="88"/>
      <c r="G188" s="88"/>
      <c r="H188" s="88"/>
      <c r="I188" s="88"/>
      <c r="J188" s="88"/>
      <c r="K188" s="89"/>
      <c r="L188" s="138"/>
      <c r="M188" s="139"/>
      <c r="N188" s="139"/>
      <c r="O188" s="139"/>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9"/>
    </row>
    <row r="189" spans="1:54" ht="46.5" customHeight="1">
      <c r="A189" s="112"/>
      <c r="B189" s="113"/>
      <c r="C189" s="88"/>
      <c r="D189" s="88"/>
      <c r="E189" s="88"/>
      <c r="F189" s="88"/>
      <c r="G189" s="88"/>
      <c r="H189" s="88"/>
      <c r="I189" s="88"/>
      <c r="J189" s="88"/>
      <c r="K189" s="89"/>
      <c r="L189" s="138"/>
      <c r="M189" s="139"/>
      <c r="N189" s="139"/>
      <c r="O189" s="139"/>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9"/>
    </row>
    <row r="190" spans="1:54" ht="46.5" customHeight="1">
      <c r="A190" s="112"/>
      <c r="B190" s="113"/>
      <c r="C190" s="88"/>
      <c r="D190" s="88"/>
      <c r="E190" s="88"/>
      <c r="F190" s="88"/>
      <c r="G190" s="88"/>
      <c r="H190" s="88"/>
      <c r="I190" s="88"/>
      <c r="J190" s="88"/>
      <c r="K190" s="89"/>
      <c r="L190" s="138"/>
      <c r="M190" s="139"/>
      <c r="N190" s="139"/>
      <c r="O190" s="139"/>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9"/>
    </row>
    <row r="191" spans="1:54" ht="46.5" customHeight="1">
      <c r="A191" s="112"/>
      <c r="B191" s="113"/>
      <c r="C191" s="88"/>
      <c r="D191" s="88"/>
      <c r="E191" s="88"/>
      <c r="F191" s="88"/>
      <c r="G191" s="88"/>
      <c r="H191" s="88"/>
      <c r="I191" s="88"/>
      <c r="J191" s="88"/>
      <c r="K191" s="89"/>
      <c r="L191" s="138"/>
      <c r="M191" s="139"/>
      <c r="N191" s="139"/>
      <c r="O191" s="139"/>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9"/>
    </row>
    <row r="192" spans="1:54" ht="46.5" customHeight="1">
      <c r="A192" s="112"/>
      <c r="B192" s="113"/>
      <c r="C192" s="88"/>
      <c r="D192" s="88"/>
      <c r="E192" s="88"/>
      <c r="F192" s="88"/>
      <c r="G192" s="88"/>
      <c r="H192" s="88"/>
      <c r="I192" s="88"/>
      <c r="J192" s="88"/>
      <c r="K192" s="89"/>
      <c r="L192" s="138"/>
      <c r="M192" s="139"/>
      <c r="N192" s="139"/>
      <c r="O192" s="139"/>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9"/>
    </row>
    <row r="193" spans="1:54" ht="46.5" customHeight="1">
      <c r="A193" s="112"/>
      <c r="B193" s="113"/>
      <c r="C193" s="88"/>
      <c r="D193" s="88"/>
      <c r="E193" s="88"/>
      <c r="F193" s="88"/>
      <c r="G193" s="88"/>
      <c r="H193" s="88"/>
      <c r="I193" s="88"/>
      <c r="J193" s="88"/>
      <c r="K193" s="89"/>
      <c r="L193" s="138"/>
      <c r="M193" s="139"/>
      <c r="N193" s="139"/>
      <c r="O193" s="139"/>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9"/>
    </row>
    <row r="194" spans="1:54" ht="46.5" customHeight="1">
      <c r="A194" s="112"/>
      <c r="B194" s="113"/>
      <c r="C194" s="88"/>
      <c r="D194" s="88"/>
      <c r="E194" s="88"/>
      <c r="F194" s="88"/>
      <c r="G194" s="88"/>
      <c r="H194" s="88"/>
      <c r="I194" s="88"/>
      <c r="J194" s="88"/>
      <c r="K194" s="89"/>
      <c r="L194" s="138"/>
      <c r="M194" s="139"/>
      <c r="N194" s="139"/>
      <c r="O194" s="139"/>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9"/>
    </row>
    <row r="195" spans="1:54" ht="46.5" customHeight="1">
      <c r="A195" s="112"/>
      <c r="B195" s="113"/>
      <c r="C195" s="88"/>
      <c r="D195" s="88"/>
      <c r="E195" s="88"/>
      <c r="F195" s="88"/>
      <c r="G195" s="88"/>
      <c r="H195" s="88"/>
      <c r="I195" s="88"/>
      <c r="J195" s="88"/>
      <c r="K195" s="89"/>
      <c r="L195" s="138"/>
      <c r="M195" s="139"/>
      <c r="N195" s="139"/>
      <c r="O195" s="139"/>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9"/>
    </row>
    <row r="196" spans="1:54" ht="46.5" customHeight="1">
      <c r="A196" s="112"/>
      <c r="B196" s="113"/>
      <c r="C196" s="88"/>
      <c r="D196" s="88"/>
      <c r="E196" s="88"/>
      <c r="F196" s="88"/>
      <c r="G196" s="88"/>
      <c r="H196" s="88"/>
      <c r="I196" s="88"/>
      <c r="J196" s="88"/>
      <c r="K196" s="89"/>
      <c r="L196" s="138"/>
      <c r="M196" s="139"/>
      <c r="N196" s="139"/>
      <c r="O196" s="139"/>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9"/>
    </row>
    <row r="197" spans="1:54" ht="46.5" customHeight="1">
      <c r="A197" s="112"/>
      <c r="B197" s="113"/>
      <c r="C197" s="88"/>
      <c r="D197" s="88"/>
      <c r="E197" s="88"/>
      <c r="F197" s="88"/>
      <c r="G197" s="88"/>
      <c r="H197" s="88"/>
      <c r="I197" s="88"/>
      <c r="J197" s="88"/>
      <c r="K197" s="89"/>
      <c r="L197" s="138"/>
      <c r="M197" s="139"/>
      <c r="N197" s="139"/>
      <c r="O197" s="139"/>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9"/>
    </row>
    <row r="198" spans="1:54" ht="46.5" customHeight="1">
      <c r="A198" s="146"/>
      <c r="B198" s="147"/>
      <c r="C198" s="90"/>
      <c r="D198" s="90"/>
      <c r="E198" s="90"/>
      <c r="F198" s="90"/>
      <c r="G198" s="90"/>
      <c r="H198" s="90"/>
      <c r="I198" s="90"/>
      <c r="J198" s="90"/>
      <c r="K198" s="91"/>
      <c r="L198" s="158"/>
      <c r="M198" s="159"/>
      <c r="N198" s="159"/>
      <c r="O198" s="159"/>
      <c r="P198" s="90"/>
      <c r="Q198" s="90"/>
      <c r="R198" s="90"/>
      <c r="S198" s="90"/>
      <c r="T198" s="90"/>
      <c r="U198" s="90"/>
      <c r="V198" s="90"/>
      <c r="W198" s="90"/>
      <c r="X198" s="90"/>
      <c r="Y198" s="90"/>
      <c r="Z198" s="90"/>
      <c r="AA198" s="90"/>
      <c r="AB198" s="90"/>
      <c r="AC198" s="90"/>
      <c r="AD198" s="90"/>
      <c r="AE198" s="90"/>
      <c r="AF198" s="90"/>
      <c r="AG198" s="90"/>
      <c r="AH198" s="90"/>
      <c r="AI198" s="90"/>
      <c r="AJ198" s="90"/>
      <c r="AK198" s="90"/>
      <c r="AL198" s="90"/>
      <c r="AM198" s="90"/>
      <c r="AN198" s="90"/>
      <c r="AO198" s="90"/>
      <c r="AP198" s="90"/>
      <c r="AQ198" s="90"/>
      <c r="AR198" s="90"/>
      <c r="AS198" s="90"/>
      <c r="AT198" s="90"/>
      <c r="AU198" s="90"/>
      <c r="AV198" s="90"/>
      <c r="AW198" s="90"/>
      <c r="AX198" s="90"/>
      <c r="AY198" s="90"/>
      <c r="AZ198" s="90"/>
      <c r="BA198" s="90"/>
      <c r="BB198" s="91"/>
    </row>
    <row r="199" spans="1:54" ht="42" customHeight="1">
      <c r="A199" s="104" t="s">
        <v>52</v>
      </c>
      <c r="B199" s="105"/>
      <c r="C199" s="104" t="s">
        <v>53</v>
      </c>
      <c r="D199" s="106"/>
      <c r="E199" s="106"/>
      <c r="F199" s="106"/>
      <c r="G199" s="106"/>
      <c r="H199" s="106"/>
      <c r="I199" s="106"/>
      <c r="J199" s="106"/>
      <c r="K199" s="105"/>
      <c r="L199" s="104" t="s">
        <v>54</v>
      </c>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5"/>
      <c r="AK199" s="107" t="s">
        <v>15</v>
      </c>
      <c r="AL199" s="108"/>
      <c r="AM199" s="108" t="s">
        <v>16</v>
      </c>
      <c r="AN199" s="108"/>
      <c r="AO199" s="108" t="s">
        <v>17</v>
      </c>
      <c r="AP199" s="108"/>
      <c r="AQ199" s="108" t="s">
        <v>18</v>
      </c>
      <c r="AR199" s="108"/>
      <c r="AS199" s="108" t="s">
        <v>19</v>
      </c>
      <c r="AT199" s="108"/>
      <c r="AU199" s="108" t="s">
        <v>20</v>
      </c>
      <c r="AV199" s="108"/>
      <c r="AW199" s="108" t="s">
        <v>21</v>
      </c>
      <c r="AX199" s="108"/>
      <c r="AY199" s="108" t="s">
        <v>22</v>
      </c>
      <c r="AZ199" s="108"/>
      <c r="BA199" s="108" t="s">
        <v>23</v>
      </c>
      <c r="BB199" s="109"/>
    </row>
    <row r="200" spans="1:54" ht="21" customHeight="1">
      <c r="A200" s="110">
        <v>14</v>
      </c>
      <c r="B200" s="111"/>
      <c r="C200" s="178">
        <v>42887</v>
      </c>
      <c r="D200" s="162"/>
      <c r="E200" s="162"/>
      <c r="F200" s="162"/>
      <c r="G200" s="12" t="s">
        <v>55</v>
      </c>
      <c r="H200" s="162">
        <v>43040</v>
      </c>
      <c r="I200" s="162"/>
      <c r="J200" s="162"/>
      <c r="K200" s="177"/>
      <c r="L200" s="115" t="s">
        <v>56</v>
      </c>
      <c r="M200" s="116"/>
      <c r="N200" s="116"/>
      <c r="O200" s="116"/>
      <c r="P200" s="16" t="s">
        <v>110</v>
      </c>
      <c r="Q200" s="16"/>
      <c r="R200" s="16"/>
      <c r="S200" s="16"/>
      <c r="T200" s="16"/>
      <c r="U200" s="16"/>
      <c r="V200" s="16"/>
      <c r="W200" s="16"/>
      <c r="X200" s="16"/>
      <c r="Y200" s="16"/>
      <c r="Z200" s="16"/>
      <c r="AA200" s="16"/>
      <c r="AB200" s="16"/>
      <c r="AC200" s="16"/>
      <c r="AD200" s="16"/>
      <c r="AE200" s="16"/>
      <c r="AF200" s="16"/>
      <c r="AG200" s="16"/>
      <c r="AH200" s="16"/>
      <c r="AI200" s="16"/>
      <c r="AJ200" s="17"/>
      <c r="AK200" s="179" t="s">
        <v>27</v>
      </c>
      <c r="AL200" s="180"/>
      <c r="AM200" s="181" t="s">
        <v>28</v>
      </c>
      <c r="AN200" s="180"/>
      <c r="AO200" s="181" t="s">
        <v>28</v>
      </c>
      <c r="AP200" s="180"/>
      <c r="AQ200" s="181" t="s">
        <v>28</v>
      </c>
      <c r="AR200" s="180"/>
      <c r="AS200" s="181" t="s">
        <v>29</v>
      </c>
      <c r="AT200" s="180"/>
      <c r="AU200" s="181" t="s">
        <v>29</v>
      </c>
      <c r="AV200" s="180"/>
      <c r="AW200" s="181" t="s">
        <v>27</v>
      </c>
      <c r="AX200" s="180"/>
      <c r="AY200" s="181" t="s">
        <v>27</v>
      </c>
      <c r="AZ200" s="180"/>
      <c r="BA200" s="181" t="s">
        <v>29</v>
      </c>
      <c r="BB200" s="183"/>
    </row>
    <row r="201" spans="1:54" ht="21" customHeight="1">
      <c r="A201" s="112"/>
      <c r="B201" s="113"/>
      <c r="C201" s="184" t="str">
        <f t="shared" ref="C201" ca="1" si="13">IF(H200="現在",IF(DATEDIF(C200,TODAY(),"YM")+1=12,DATEDIF(C200,TODAY(),"Y")+1&amp;"年",DATEDIF(C200,TODAY(),"Y")&amp;"年"&amp;DATEDIF(C200,TODAY(),"YM")+1&amp;"ヶ月"),IF(DATEDIF(C200,H200,"YM")+1=12,DATEDIF(C200,H200,"Y")+1&amp;"年",DATEDIF(C200,H200,"Y")&amp;"年"&amp;DATEDIF(C200,H200,"YM")+1&amp;"ヶ月"))</f>
        <v>0年6ヶ月</v>
      </c>
      <c r="D201" s="173"/>
      <c r="E201" s="173"/>
      <c r="F201" s="173"/>
      <c r="G201" s="173"/>
      <c r="H201" s="173"/>
      <c r="I201" s="173"/>
      <c r="J201" s="173"/>
      <c r="K201" s="174"/>
      <c r="L201" s="115" t="s">
        <v>58</v>
      </c>
      <c r="M201" s="116"/>
      <c r="N201" s="116"/>
      <c r="O201" s="116"/>
      <c r="P201" s="131" t="s">
        <v>59</v>
      </c>
      <c r="Q201" s="131"/>
      <c r="R201" s="131"/>
      <c r="S201" s="131"/>
      <c r="T201" s="131"/>
      <c r="U201" s="131"/>
      <c r="V201" s="131"/>
      <c r="W201" s="131"/>
      <c r="X201" s="131"/>
      <c r="Y201" s="131"/>
      <c r="Z201" s="131"/>
      <c r="AA201" s="131"/>
      <c r="AB201" s="132"/>
      <c r="AC201" s="115" t="s">
        <v>60</v>
      </c>
      <c r="AD201" s="116"/>
      <c r="AE201" s="116"/>
      <c r="AF201" s="116"/>
      <c r="AG201" s="175" t="s">
        <v>104</v>
      </c>
      <c r="AH201" s="175"/>
      <c r="AI201" s="175"/>
      <c r="AJ201" s="176"/>
      <c r="AK201" s="165"/>
      <c r="AL201" s="166"/>
      <c r="AM201" s="168"/>
      <c r="AN201" s="166"/>
      <c r="AO201" s="168"/>
      <c r="AP201" s="166"/>
      <c r="AQ201" s="168"/>
      <c r="AR201" s="166"/>
      <c r="AS201" s="168"/>
      <c r="AT201" s="166"/>
      <c r="AU201" s="168"/>
      <c r="AV201" s="166"/>
      <c r="AW201" s="168"/>
      <c r="AX201" s="166"/>
      <c r="AY201" s="168"/>
      <c r="AZ201" s="166"/>
      <c r="BA201" s="168"/>
      <c r="BB201" s="172"/>
    </row>
    <row r="202" spans="1:54" ht="21" customHeight="1">
      <c r="A202" s="112"/>
      <c r="B202" s="113"/>
      <c r="C202" s="155" t="s">
        <v>62</v>
      </c>
      <c r="D202" s="156"/>
      <c r="E202" s="156"/>
      <c r="F202" s="156"/>
      <c r="G202" s="156"/>
      <c r="H202" s="156"/>
      <c r="I202" s="156"/>
      <c r="J202" s="156"/>
      <c r="K202" s="157"/>
      <c r="L202" s="136" t="s">
        <v>63</v>
      </c>
      <c r="M202" s="137"/>
      <c r="N202" s="137"/>
      <c r="O202" s="137"/>
      <c r="P202" s="86" t="s">
        <v>111</v>
      </c>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c r="AQ202" s="86"/>
      <c r="AR202" s="86"/>
      <c r="AS202" s="86"/>
      <c r="AT202" s="86"/>
      <c r="AU202" s="86"/>
      <c r="AV202" s="86"/>
      <c r="AW202" s="86"/>
      <c r="AX202" s="86"/>
      <c r="AY202" s="86"/>
      <c r="AZ202" s="86"/>
      <c r="BA202" s="86"/>
      <c r="BB202" s="87"/>
    </row>
    <row r="203" spans="1:54" ht="29.25" customHeight="1">
      <c r="A203" s="112"/>
      <c r="B203" s="113"/>
      <c r="C203" s="182" t="s">
        <v>112</v>
      </c>
      <c r="D203" s="88"/>
      <c r="E203" s="88"/>
      <c r="F203" s="88"/>
      <c r="G203" s="88"/>
      <c r="H203" s="88"/>
      <c r="I203" s="88"/>
      <c r="J203" s="88"/>
      <c r="K203" s="89"/>
      <c r="L203" s="138"/>
      <c r="M203" s="139"/>
      <c r="N203" s="139"/>
      <c r="O203" s="139"/>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9"/>
    </row>
    <row r="204" spans="1:54" ht="29.25" customHeight="1">
      <c r="A204" s="112"/>
      <c r="B204" s="113"/>
      <c r="C204" s="182"/>
      <c r="D204" s="88"/>
      <c r="E204" s="88"/>
      <c r="F204" s="88"/>
      <c r="G204" s="88"/>
      <c r="H204" s="88"/>
      <c r="I204" s="88"/>
      <c r="J204" s="88"/>
      <c r="K204" s="89"/>
      <c r="L204" s="138"/>
      <c r="M204" s="139"/>
      <c r="N204" s="139"/>
      <c r="O204" s="139"/>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9"/>
    </row>
    <row r="205" spans="1:54" ht="29.25" customHeight="1">
      <c r="A205" s="112"/>
      <c r="B205" s="113"/>
      <c r="C205" s="182"/>
      <c r="D205" s="88"/>
      <c r="E205" s="88"/>
      <c r="F205" s="88"/>
      <c r="G205" s="88"/>
      <c r="H205" s="88"/>
      <c r="I205" s="88"/>
      <c r="J205" s="88"/>
      <c r="K205" s="89"/>
      <c r="L205" s="138"/>
      <c r="M205" s="139"/>
      <c r="N205" s="139"/>
      <c r="O205" s="139"/>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9"/>
    </row>
    <row r="206" spans="1:54" ht="29.25" customHeight="1">
      <c r="A206" s="112"/>
      <c r="B206" s="113"/>
      <c r="C206" s="182"/>
      <c r="D206" s="88"/>
      <c r="E206" s="88"/>
      <c r="F206" s="88"/>
      <c r="G206" s="88"/>
      <c r="H206" s="88"/>
      <c r="I206" s="88"/>
      <c r="J206" s="88"/>
      <c r="K206" s="89"/>
      <c r="L206" s="138"/>
      <c r="M206" s="139"/>
      <c r="N206" s="139"/>
      <c r="O206" s="139"/>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9"/>
    </row>
    <row r="207" spans="1:54" ht="29.25" customHeight="1">
      <c r="A207" s="112"/>
      <c r="B207" s="113"/>
      <c r="C207" s="182"/>
      <c r="D207" s="88"/>
      <c r="E207" s="88"/>
      <c r="F207" s="88"/>
      <c r="G207" s="88"/>
      <c r="H207" s="88"/>
      <c r="I207" s="88"/>
      <c r="J207" s="88"/>
      <c r="K207" s="89"/>
      <c r="L207" s="138"/>
      <c r="M207" s="139"/>
      <c r="N207" s="139"/>
      <c r="O207" s="139"/>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9"/>
    </row>
    <row r="208" spans="1:54" ht="29.25" customHeight="1">
      <c r="A208" s="112"/>
      <c r="B208" s="113"/>
      <c r="C208" s="182"/>
      <c r="D208" s="88"/>
      <c r="E208" s="88"/>
      <c r="F208" s="88"/>
      <c r="G208" s="88"/>
      <c r="H208" s="88"/>
      <c r="I208" s="88"/>
      <c r="J208" s="88"/>
      <c r="K208" s="89"/>
      <c r="L208" s="138"/>
      <c r="M208" s="139"/>
      <c r="N208" s="139"/>
      <c r="O208" s="139"/>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9"/>
    </row>
    <row r="209" spans="1:54" ht="29.25" customHeight="1">
      <c r="A209" s="112"/>
      <c r="B209" s="113"/>
      <c r="C209" s="182"/>
      <c r="D209" s="88"/>
      <c r="E209" s="88"/>
      <c r="F209" s="88"/>
      <c r="G209" s="88"/>
      <c r="H209" s="88"/>
      <c r="I209" s="88"/>
      <c r="J209" s="88"/>
      <c r="K209" s="89"/>
      <c r="L209" s="138"/>
      <c r="M209" s="139"/>
      <c r="N209" s="139"/>
      <c r="O209" s="139"/>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9"/>
    </row>
    <row r="210" spans="1:54" ht="29.25" customHeight="1">
      <c r="A210" s="112"/>
      <c r="B210" s="113"/>
      <c r="C210" s="182"/>
      <c r="D210" s="88"/>
      <c r="E210" s="88"/>
      <c r="F210" s="88"/>
      <c r="G210" s="88"/>
      <c r="H210" s="88"/>
      <c r="I210" s="88"/>
      <c r="J210" s="88"/>
      <c r="K210" s="89"/>
      <c r="L210" s="138"/>
      <c r="M210" s="139"/>
      <c r="N210" s="139"/>
      <c r="O210" s="139"/>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9"/>
    </row>
    <row r="211" spans="1:54" ht="42" customHeight="1">
      <c r="A211" s="104" t="s">
        <v>52</v>
      </c>
      <c r="B211" s="105"/>
      <c r="C211" s="104" t="s">
        <v>53</v>
      </c>
      <c r="D211" s="106"/>
      <c r="E211" s="106"/>
      <c r="F211" s="106"/>
      <c r="G211" s="106"/>
      <c r="H211" s="106"/>
      <c r="I211" s="106"/>
      <c r="J211" s="106"/>
      <c r="K211" s="105"/>
      <c r="L211" s="104" t="s">
        <v>54</v>
      </c>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5"/>
      <c r="AK211" s="107" t="s">
        <v>15</v>
      </c>
      <c r="AL211" s="108"/>
      <c r="AM211" s="108" t="s">
        <v>16</v>
      </c>
      <c r="AN211" s="108"/>
      <c r="AO211" s="108" t="s">
        <v>17</v>
      </c>
      <c r="AP211" s="108"/>
      <c r="AQ211" s="108" t="s">
        <v>18</v>
      </c>
      <c r="AR211" s="108"/>
      <c r="AS211" s="108" t="s">
        <v>19</v>
      </c>
      <c r="AT211" s="108"/>
      <c r="AU211" s="108" t="s">
        <v>20</v>
      </c>
      <c r="AV211" s="108"/>
      <c r="AW211" s="108" t="s">
        <v>21</v>
      </c>
      <c r="AX211" s="108"/>
      <c r="AY211" s="108" t="s">
        <v>22</v>
      </c>
      <c r="AZ211" s="108"/>
      <c r="BA211" s="108" t="s">
        <v>23</v>
      </c>
      <c r="BB211" s="109"/>
    </row>
    <row r="212" spans="1:54" ht="21" customHeight="1">
      <c r="A212" s="110">
        <v>15</v>
      </c>
      <c r="B212" s="111"/>
      <c r="C212" s="162">
        <v>42552</v>
      </c>
      <c r="D212" s="162"/>
      <c r="E212" s="162"/>
      <c r="F212" s="162"/>
      <c r="G212" s="12" t="s">
        <v>55</v>
      </c>
      <c r="H212" s="162">
        <v>42856</v>
      </c>
      <c r="I212" s="162"/>
      <c r="J212" s="162"/>
      <c r="K212" s="177"/>
      <c r="L212" s="115" t="s">
        <v>56</v>
      </c>
      <c r="M212" s="116"/>
      <c r="N212" s="116"/>
      <c r="O212" s="116"/>
      <c r="P212" s="16" t="s">
        <v>113</v>
      </c>
      <c r="Q212" s="16"/>
      <c r="R212" s="16"/>
      <c r="S212" s="16"/>
      <c r="T212" s="16"/>
      <c r="U212" s="16"/>
      <c r="V212" s="16"/>
      <c r="W212" s="16"/>
      <c r="X212" s="16"/>
      <c r="Y212" s="16"/>
      <c r="Z212" s="16"/>
      <c r="AA212" s="16"/>
      <c r="AB212" s="16"/>
      <c r="AC212" s="16"/>
      <c r="AD212" s="16"/>
      <c r="AE212" s="16"/>
      <c r="AF212" s="16"/>
      <c r="AG212" s="16"/>
      <c r="AH212" s="16"/>
      <c r="AI212" s="16"/>
      <c r="AJ212" s="17"/>
      <c r="AK212" s="163" t="s">
        <v>27</v>
      </c>
      <c r="AL212" s="164"/>
      <c r="AM212" s="169" t="s">
        <v>28</v>
      </c>
      <c r="AN212" s="170"/>
      <c r="AO212" s="167" t="s">
        <v>29</v>
      </c>
      <c r="AP212" s="164"/>
      <c r="AQ212" s="167" t="s">
        <v>29</v>
      </c>
      <c r="AR212" s="164"/>
      <c r="AS212" s="167" t="s">
        <v>29</v>
      </c>
      <c r="AT212" s="164"/>
      <c r="AU212" s="167" t="s">
        <v>29</v>
      </c>
      <c r="AV212" s="164"/>
      <c r="AW212" s="167" t="s">
        <v>29</v>
      </c>
      <c r="AX212" s="164"/>
      <c r="AY212" s="167" t="s">
        <v>29</v>
      </c>
      <c r="AZ212" s="164"/>
      <c r="BA212" s="169" t="s">
        <v>28</v>
      </c>
      <c r="BB212" s="170"/>
    </row>
    <row r="213" spans="1:54" ht="21" customHeight="1">
      <c r="A213" s="112"/>
      <c r="B213" s="113"/>
      <c r="C213" s="173" t="str">
        <f t="shared" ref="C213" ca="1" si="14">IF(H212="現在",IF(DATEDIF(C212,TODAY(),"YM")+1=12,DATEDIF(C212,TODAY(),"Y")+1&amp;"年",DATEDIF(C212,TODAY(),"Y")&amp;"年"&amp;DATEDIF(C212,TODAY(),"YM")+1&amp;"ヶ月"),IF(DATEDIF(C212,H212,"YM")+1=12,DATEDIF(C212,H212,"Y")+1&amp;"年",DATEDIF(C212,H212,"Y")&amp;"年"&amp;DATEDIF(C212,H212,"YM")+1&amp;"ヶ月"))</f>
        <v>0年11ヶ月</v>
      </c>
      <c r="D213" s="173"/>
      <c r="E213" s="173"/>
      <c r="F213" s="173"/>
      <c r="G213" s="173"/>
      <c r="H213" s="173"/>
      <c r="I213" s="173"/>
      <c r="J213" s="173"/>
      <c r="K213" s="174"/>
      <c r="L213" s="115" t="s">
        <v>58</v>
      </c>
      <c r="M213" s="116"/>
      <c r="N213" s="116"/>
      <c r="O213" s="116"/>
      <c r="P213" s="131" t="s">
        <v>59</v>
      </c>
      <c r="Q213" s="131"/>
      <c r="R213" s="131"/>
      <c r="S213" s="131"/>
      <c r="T213" s="131"/>
      <c r="U213" s="131"/>
      <c r="V213" s="131"/>
      <c r="W213" s="131"/>
      <c r="X213" s="131"/>
      <c r="Y213" s="131"/>
      <c r="Z213" s="131"/>
      <c r="AA213" s="131"/>
      <c r="AB213" s="132"/>
      <c r="AC213" s="115" t="s">
        <v>60</v>
      </c>
      <c r="AD213" s="116"/>
      <c r="AE213" s="116"/>
      <c r="AF213" s="116"/>
      <c r="AG213" s="175" t="s">
        <v>104</v>
      </c>
      <c r="AH213" s="175"/>
      <c r="AI213" s="175"/>
      <c r="AJ213" s="176"/>
      <c r="AK213" s="165"/>
      <c r="AL213" s="166"/>
      <c r="AM213" s="171"/>
      <c r="AN213" s="172"/>
      <c r="AO213" s="168"/>
      <c r="AP213" s="166"/>
      <c r="AQ213" s="168"/>
      <c r="AR213" s="166"/>
      <c r="AS213" s="168"/>
      <c r="AT213" s="166"/>
      <c r="AU213" s="168"/>
      <c r="AV213" s="166"/>
      <c r="AW213" s="168"/>
      <c r="AX213" s="166"/>
      <c r="AY213" s="168"/>
      <c r="AZ213" s="166"/>
      <c r="BA213" s="171"/>
      <c r="BB213" s="172"/>
    </row>
    <row r="214" spans="1:54" ht="21" customHeight="1">
      <c r="A214" s="112"/>
      <c r="B214" s="113"/>
      <c r="C214" s="135" t="s">
        <v>62</v>
      </c>
      <c r="D214" s="135"/>
      <c r="E214" s="135"/>
      <c r="F214" s="135"/>
      <c r="G214" s="135"/>
      <c r="H214" s="135"/>
      <c r="I214" s="135"/>
      <c r="J214" s="135"/>
      <c r="K214" s="135"/>
      <c r="L214" s="136" t="s">
        <v>63</v>
      </c>
      <c r="M214" s="137"/>
      <c r="N214" s="137"/>
      <c r="O214" s="137"/>
      <c r="P214" s="86" t="s">
        <v>114</v>
      </c>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c r="AQ214" s="86"/>
      <c r="AR214" s="86"/>
      <c r="AS214" s="86"/>
      <c r="AT214" s="86"/>
      <c r="AU214" s="86"/>
      <c r="AV214" s="86"/>
      <c r="AW214" s="86"/>
      <c r="AX214" s="86"/>
      <c r="AY214" s="86"/>
      <c r="AZ214" s="86"/>
      <c r="BA214" s="86"/>
      <c r="BB214" s="87"/>
    </row>
    <row r="215" spans="1:54" ht="20.100000000000001" customHeight="1">
      <c r="A215" s="112"/>
      <c r="B215" s="113"/>
      <c r="C215" s="88" t="s">
        <v>115</v>
      </c>
      <c r="D215" s="88"/>
      <c r="E215" s="88"/>
      <c r="F215" s="88"/>
      <c r="G215" s="88"/>
      <c r="H215" s="88"/>
      <c r="I215" s="88"/>
      <c r="J215" s="88"/>
      <c r="K215" s="89"/>
      <c r="L215" s="138"/>
      <c r="M215" s="139"/>
      <c r="N215" s="139"/>
      <c r="O215" s="139"/>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9"/>
    </row>
    <row r="216" spans="1:54" ht="20.100000000000001" customHeight="1">
      <c r="A216" s="112"/>
      <c r="B216" s="113"/>
      <c r="C216" s="88"/>
      <c r="D216" s="88"/>
      <c r="E216" s="88"/>
      <c r="F216" s="88"/>
      <c r="G216" s="88"/>
      <c r="H216" s="88"/>
      <c r="I216" s="88"/>
      <c r="J216" s="88"/>
      <c r="K216" s="89"/>
      <c r="L216" s="138"/>
      <c r="M216" s="139"/>
      <c r="N216" s="139"/>
      <c r="O216" s="139"/>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9"/>
    </row>
    <row r="217" spans="1:54" ht="20.100000000000001" customHeight="1">
      <c r="A217" s="112"/>
      <c r="B217" s="113"/>
      <c r="C217" s="88"/>
      <c r="D217" s="88"/>
      <c r="E217" s="88"/>
      <c r="F217" s="88"/>
      <c r="G217" s="88"/>
      <c r="H217" s="88"/>
      <c r="I217" s="88"/>
      <c r="J217" s="88"/>
      <c r="K217" s="89"/>
      <c r="L217" s="138"/>
      <c r="M217" s="139"/>
      <c r="N217" s="139"/>
      <c r="O217" s="139"/>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9"/>
    </row>
    <row r="218" spans="1:54" ht="20.100000000000001" customHeight="1">
      <c r="A218" s="112"/>
      <c r="B218" s="113"/>
      <c r="C218" s="88"/>
      <c r="D218" s="88"/>
      <c r="E218" s="88"/>
      <c r="F218" s="88"/>
      <c r="G218" s="88"/>
      <c r="H218" s="88"/>
      <c r="I218" s="88"/>
      <c r="J218" s="88"/>
      <c r="K218" s="89"/>
      <c r="L218" s="138"/>
      <c r="M218" s="139"/>
      <c r="N218" s="139"/>
      <c r="O218" s="139"/>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9"/>
    </row>
    <row r="219" spans="1:54" ht="20.100000000000001" customHeight="1">
      <c r="A219" s="112"/>
      <c r="B219" s="113"/>
      <c r="C219" s="88"/>
      <c r="D219" s="88"/>
      <c r="E219" s="88"/>
      <c r="F219" s="88"/>
      <c r="G219" s="88"/>
      <c r="H219" s="88"/>
      <c r="I219" s="88"/>
      <c r="J219" s="88"/>
      <c r="K219" s="89"/>
      <c r="L219" s="138"/>
      <c r="M219" s="139"/>
      <c r="N219" s="139"/>
      <c r="O219" s="139"/>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9"/>
    </row>
    <row r="220" spans="1:54" ht="20.100000000000001" customHeight="1">
      <c r="A220" s="112"/>
      <c r="B220" s="113"/>
      <c r="C220" s="88"/>
      <c r="D220" s="88"/>
      <c r="E220" s="88"/>
      <c r="F220" s="88"/>
      <c r="G220" s="88"/>
      <c r="H220" s="88"/>
      <c r="I220" s="88"/>
      <c r="J220" s="88"/>
      <c r="K220" s="89"/>
      <c r="L220" s="138"/>
      <c r="M220" s="139"/>
      <c r="N220" s="139"/>
      <c r="O220" s="139"/>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9"/>
    </row>
    <row r="221" spans="1:54" ht="20.100000000000001" customHeight="1">
      <c r="A221" s="112"/>
      <c r="B221" s="113"/>
      <c r="C221" s="88"/>
      <c r="D221" s="88"/>
      <c r="E221" s="88"/>
      <c r="F221" s="88"/>
      <c r="G221" s="88"/>
      <c r="H221" s="88"/>
      <c r="I221" s="88"/>
      <c r="J221" s="88"/>
      <c r="K221" s="89"/>
      <c r="L221" s="138"/>
      <c r="M221" s="139"/>
      <c r="N221" s="139"/>
      <c r="O221" s="139"/>
      <c r="P221" s="88"/>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88"/>
      <c r="AN221" s="88"/>
      <c r="AO221" s="88"/>
      <c r="AP221" s="88"/>
      <c r="AQ221" s="88"/>
      <c r="AR221" s="88"/>
      <c r="AS221" s="88"/>
      <c r="AT221" s="88"/>
      <c r="AU221" s="88"/>
      <c r="AV221" s="88"/>
      <c r="AW221" s="88"/>
      <c r="AX221" s="88"/>
      <c r="AY221" s="88"/>
      <c r="AZ221" s="88"/>
      <c r="BA221" s="88"/>
      <c r="BB221" s="89"/>
    </row>
    <row r="222" spans="1:54" ht="20.100000000000001" customHeight="1">
      <c r="A222" s="112"/>
      <c r="B222" s="113"/>
      <c r="C222" s="88"/>
      <c r="D222" s="88"/>
      <c r="E222" s="88"/>
      <c r="F222" s="88"/>
      <c r="G222" s="88"/>
      <c r="H222" s="88"/>
      <c r="I222" s="88"/>
      <c r="J222" s="88"/>
      <c r="K222" s="89"/>
      <c r="L222" s="138"/>
      <c r="M222" s="139"/>
      <c r="N222" s="139"/>
      <c r="O222" s="139"/>
      <c r="P222" s="88"/>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88"/>
      <c r="AN222" s="88"/>
      <c r="AO222" s="88"/>
      <c r="AP222" s="88"/>
      <c r="AQ222" s="88"/>
      <c r="AR222" s="88"/>
      <c r="AS222" s="88"/>
      <c r="AT222" s="88"/>
      <c r="AU222" s="88"/>
      <c r="AV222" s="88"/>
      <c r="AW222" s="88"/>
      <c r="AX222" s="88"/>
      <c r="AY222" s="88"/>
      <c r="AZ222" s="88"/>
      <c r="BA222" s="88"/>
      <c r="BB222" s="89"/>
    </row>
    <row r="223" spans="1:54" ht="20.100000000000001" customHeight="1">
      <c r="A223" s="112"/>
      <c r="B223" s="113"/>
      <c r="C223" s="88"/>
      <c r="D223" s="88"/>
      <c r="E223" s="88"/>
      <c r="F223" s="88"/>
      <c r="G223" s="88"/>
      <c r="H223" s="88"/>
      <c r="I223" s="88"/>
      <c r="J223" s="88"/>
      <c r="K223" s="89"/>
      <c r="L223" s="138"/>
      <c r="M223" s="139"/>
      <c r="N223" s="139"/>
      <c r="O223" s="139"/>
      <c r="P223" s="88"/>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88"/>
      <c r="AN223" s="88"/>
      <c r="AO223" s="88"/>
      <c r="AP223" s="88"/>
      <c r="AQ223" s="88"/>
      <c r="AR223" s="88"/>
      <c r="AS223" s="88"/>
      <c r="AT223" s="88"/>
      <c r="AU223" s="88"/>
      <c r="AV223" s="88"/>
      <c r="AW223" s="88"/>
      <c r="AX223" s="88"/>
      <c r="AY223" s="88"/>
      <c r="AZ223" s="88"/>
      <c r="BA223" s="88"/>
      <c r="BB223" s="89"/>
    </row>
    <row r="224" spans="1:54" ht="20.100000000000001" customHeight="1">
      <c r="A224" s="112"/>
      <c r="B224" s="113"/>
      <c r="C224" s="88"/>
      <c r="D224" s="88"/>
      <c r="E224" s="88"/>
      <c r="F224" s="88"/>
      <c r="G224" s="88"/>
      <c r="H224" s="88"/>
      <c r="I224" s="88"/>
      <c r="J224" s="88"/>
      <c r="K224" s="89"/>
      <c r="L224" s="138"/>
      <c r="M224" s="139"/>
      <c r="N224" s="139"/>
      <c r="O224" s="139"/>
      <c r="P224" s="88"/>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88"/>
      <c r="AN224" s="88"/>
      <c r="AO224" s="88"/>
      <c r="AP224" s="88"/>
      <c r="AQ224" s="88"/>
      <c r="AR224" s="88"/>
      <c r="AS224" s="88"/>
      <c r="AT224" s="88"/>
      <c r="AU224" s="88"/>
      <c r="AV224" s="88"/>
      <c r="AW224" s="88"/>
      <c r="AX224" s="88"/>
      <c r="AY224" s="88"/>
      <c r="AZ224" s="88"/>
      <c r="BA224" s="88"/>
      <c r="BB224" s="89"/>
    </row>
    <row r="225" spans="1:54" ht="20.100000000000001" customHeight="1">
      <c r="A225" s="112"/>
      <c r="B225" s="113"/>
      <c r="C225" s="88"/>
      <c r="D225" s="88"/>
      <c r="E225" s="88"/>
      <c r="F225" s="88"/>
      <c r="G225" s="88"/>
      <c r="H225" s="88"/>
      <c r="I225" s="88"/>
      <c r="J225" s="88"/>
      <c r="K225" s="89"/>
      <c r="L225" s="138"/>
      <c r="M225" s="139"/>
      <c r="N225" s="139"/>
      <c r="O225" s="139"/>
      <c r="P225" s="88"/>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88"/>
      <c r="AN225" s="88"/>
      <c r="AO225" s="88"/>
      <c r="AP225" s="88"/>
      <c r="AQ225" s="88"/>
      <c r="AR225" s="88"/>
      <c r="AS225" s="88"/>
      <c r="AT225" s="88"/>
      <c r="AU225" s="88"/>
      <c r="AV225" s="88"/>
      <c r="AW225" s="88"/>
      <c r="AX225" s="88"/>
      <c r="AY225" s="88"/>
      <c r="AZ225" s="88"/>
      <c r="BA225" s="88"/>
      <c r="BB225" s="89"/>
    </row>
    <row r="226" spans="1:54" ht="17.45" customHeight="1">
      <c r="A226" s="112"/>
      <c r="B226" s="113"/>
      <c r="C226" s="88"/>
      <c r="D226" s="88"/>
      <c r="E226" s="88"/>
      <c r="F226" s="88"/>
      <c r="G226" s="88"/>
      <c r="H226" s="88"/>
      <c r="I226" s="88"/>
      <c r="J226" s="88"/>
      <c r="K226" s="89"/>
      <c r="L226" s="138"/>
      <c r="M226" s="139"/>
      <c r="N226" s="139"/>
      <c r="O226" s="139"/>
      <c r="P226" s="88"/>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88"/>
      <c r="AN226" s="88"/>
      <c r="AO226" s="88"/>
      <c r="AP226" s="88"/>
      <c r="AQ226" s="88"/>
      <c r="AR226" s="88"/>
      <c r="AS226" s="88"/>
      <c r="AT226" s="88"/>
      <c r="AU226" s="88"/>
      <c r="AV226" s="88"/>
      <c r="AW226" s="88"/>
      <c r="AX226" s="88"/>
      <c r="AY226" s="88"/>
      <c r="AZ226" s="88"/>
      <c r="BA226" s="88"/>
      <c r="BB226" s="89"/>
    </row>
    <row r="227" spans="1:54" ht="38.25" customHeight="1">
      <c r="A227" s="146"/>
      <c r="B227" s="147"/>
      <c r="C227" s="90"/>
      <c r="D227" s="90"/>
      <c r="E227" s="90"/>
      <c r="F227" s="90"/>
      <c r="G227" s="90"/>
      <c r="H227" s="90"/>
      <c r="I227" s="90"/>
      <c r="J227" s="90"/>
      <c r="K227" s="91"/>
      <c r="L227" s="158"/>
      <c r="M227" s="159"/>
      <c r="N227" s="159"/>
      <c r="O227" s="159"/>
      <c r="P227" s="90"/>
      <c r="Q227" s="90"/>
      <c r="R227" s="90"/>
      <c r="S227" s="90"/>
      <c r="T227" s="90"/>
      <c r="U227" s="90"/>
      <c r="V227" s="90"/>
      <c r="W227" s="90"/>
      <c r="X227" s="90"/>
      <c r="Y227" s="90"/>
      <c r="Z227" s="90"/>
      <c r="AA227" s="90"/>
      <c r="AB227" s="90"/>
      <c r="AC227" s="90"/>
      <c r="AD227" s="90"/>
      <c r="AE227" s="90"/>
      <c r="AF227" s="90"/>
      <c r="AG227" s="90"/>
      <c r="AH227" s="90"/>
      <c r="AI227" s="90"/>
      <c r="AJ227" s="90"/>
      <c r="AK227" s="90"/>
      <c r="AL227" s="90"/>
      <c r="AM227" s="90"/>
      <c r="AN227" s="90"/>
      <c r="AO227" s="90"/>
      <c r="AP227" s="90"/>
      <c r="AQ227" s="90"/>
      <c r="AR227" s="90"/>
      <c r="AS227" s="90"/>
      <c r="AT227" s="90"/>
      <c r="AU227" s="90"/>
      <c r="AV227" s="90"/>
      <c r="AW227" s="90"/>
      <c r="AX227" s="90"/>
      <c r="AY227" s="90"/>
      <c r="AZ227" s="90"/>
      <c r="BA227" s="90"/>
      <c r="BB227" s="91"/>
    </row>
    <row r="228" spans="1:54" ht="42" customHeight="1">
      <c r="A228" s="104" t="s">
        <v>52</v>
      </c>
      <c r="B228" s="105"/>
      <c r="C228" s="104" t="s">
        <v>53</v>
      </c>
      <c r="D228" s="106"/>
      <c r="E228" s="106"/>
      <c r="F228" s="106"/>
      <c r="G228" s="106"/>
      <c r="H228" s="106"/>
      <c r="I228" s="106"/>
      <c r="J228" s="106"/>
      <c r="K228" s="105"/>
      <c r="L228" s="104" t="s">
        <v>54</v>
      </c>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5"/>
      <c r="AK228" s="107" t="s">
        <v>15</v>
      </c>
      <c r="AL228" s="108"/>
      <c r="AM228" s="108" t="s">
        <v>16</v>
      </c>
      <c r="AN228" s="108"/>
      <c r="AO228" s="108" t="s">
        <v>17</v>
      </c>
      <c r="AP228" s="108"/>
      <c r="AQ228" s="108" t="s">
        <v>18</v>
      </c>
      <c r="AR228" s="108"/>
      <c r="AS228" s="108" t="s">
        <v>19</v>
      </c>
      <c r="AT228" s="108"/>
      <c r="AU228" s="108" t="s">
        <v>20</v>
      </c>
      <c r="AV228" s="108"/>
      <c r="AW228" s="108" t="s">
        <v>21</v>
      </c>
      <c r="AX228" s="108"/>
      <c r="AY228" s="108" t="s">
        <v>22</v>
      </c>
      <c r="AZ228" s="108"/>
      <c r="BA228" s="108" t="s">
        <v>23</v>
      </c>
      <c r="BB228" s="109"/>
    </row>
    <row r="229" spans="1:54" ht="21" customHeight="1">
      <c r="A229" s="110">
        <v>16</v>
      </c>
      <c r="B229" s="111"/>
      <c r="C229" s="162">
        <v>42125</v>
      </c>
      <c r="D229" s="162"/>
      <c r="E229" s="162"/>
      <c r="F229" s="162"/>
      <c r="G229" s="12" t="s">
        <v>55</v>
      </c>
      <c r="H229" s="162">
        <v>42522</v>
      </c>
      <c r="I229" s="162"/>
      <c r="J229" s="162"/>
      <c r="K229" s="177"/>
      <c r="L229" s="115" t="s">
        <v>56</v>
      </c>
      <c r="M229" s="116"/>
      <c r="N229" s="116"/>
      <c r="O229" s="116"/>
      <c r="P229" s="16" t="s">
        <v>116</v>
      </c>
      <c r="Q229" s="16"/>
      <c r="R229" s="16"/>
      <c r="S229" s="16"/>
      <c r="T229" s="16"/>
      <c r="U229" s="16"/>
      <c r="V229" s="16"/>
      <c r="W229" s="16"/>
      <c r="X229" s="16"/>
      <c r="Y229" s="16"/>
      <c r="Z229" s="16"/>
      <c r="AA229" s="16"/>
      <c r="AB229" s="16"/>
      <c r="AC229" s="16"/>
      <c r="AD229" s="16"/>
      <c r="AE229" s="16"/>
      <c r="AF229" s="16"/>
      <c r="AG229" s="16"/>
      <c r="AH229" s="16"/>
      <c r="AI229" s="16"/>
      <c r="AJ229" s="17"/>
      <c r="AK229" s="163" t="s">
        <v>27</v>
      </c>
      <c r="AL229" s="164"/>
      <c r="AM229" s="167" t="s">
        <v>117</v>
      </c>
      <c r="AN229" s="164"/>
      <c r="AO229" s="167" t="s">
        <v>28</v>
      </c>
      <c r="AP229" s="164"/>
      <c r="AQ229" s="167" t="s">
        <v>28</v>
      </c>
      <c r="AR229" s="164"/>
      <c r="AS229" s="167" t="s">
        <v>29</v>
      </c>
      <c r="AT229" s="164"/>
      <c r="AU229" s="167" t="s">
        <v>29</v>
      </c>
      <c r="AV229" s="164"/>
      <c r="AW229" s="167" t="s">
        <v>27</v>
      </c>
      <c r="AX229" s="164"/>
      <c r="AY229" s="167" t="s">
        <v>27</v>
      </c>
      <c r="AZ229" s="164"/>
      <c r="BA229" s="169" t="s">
        <v>27</v>
      </c>
      <c r="BB229" s="170"/>
    </row>
    <row r="230" spans="1:54" ht="21" customHeight="1">
      <c r="A230" s="112"/>
      <c r="B230" s="113"/>
      <c r="C230" s="173" t="str">
        <f t="shared" ref="C230" ca="1" si="15">IF(H229="現在",IF(DATEDIF(C229,TODAY(),"YM")+1=12,DATEDIF(C229,TODAY(),"Y")+1&amp;"年",DATEDIF(C229,TODAY(),"Y")&amp;"年"&amp;DATEDIF(C229,TODAY(),"YM")+1&amp;"ヶ月"),IF(DATEDIF(C229,H229,"YM")+1=12,DATEDIF(C229,H229,"Y")+1&amp;"年",DATEDIF(C229,H229,"Y")&amp;"年"&amp;DATEDIF(C229,H229,"YM")+1&amp;"ヶ月"))</f>
        <v>1年2ヶ月</v>
      </c>
      <c r="D230" s="173"/>
      <c r="E230" s="173"/>
      <c r="F230" s="173"/>
      <c r="G230" s="173"/>
      <c r="H230" s="173"/>
      <c r="I230" s="173"/>
      <c r="J230" s="173"/>
      <c r="K230" s="174"/>
      <c r="L230" s="115" t="s">
        <v>58</v>
      </c>
      <c r="M230" s="116"/>
      <c r="N230" s="116"/>
      <c r="O230" s="116"/>
      <c r="P230" s="131" t="s">
        <v>59</v>
      </c>
      <c r="Q230" s="131"/>
      <c r="R230" s="131"/>
      <c r="S230" s="131"/>
      <c r="T230" s="131"/>
      <c r="U230" s="131"/>
      <c r="V230" s="131"/>
      <c r="W230" s="131"/>
      <c r="X230" s="131"/>
      <c r="Y230" s="131"/>
      <c r="Z230" s="131"/>
      <c r="AA230" s="131"/>
      <c r="AB230" s="132"/>
      <c r="AC230" s="115" t="s">
        <v>60</v>
      </c>
      <c r="AD230" s="116"/>
      <c r="AE230" s="116"/>
      <c r="AF230" s="116"/>
      <c r="AG230" s="175" t="s">
        <v>100</v>
      </c>
      <c r="AH230" s="175"/>
      <c r="AI230" s="175"/>
      <c r="AJ230" s="176"/>
      <c r="AK230" s="165"/>
      <c r="AL230" s="166"/>
      <c r="AM230" s="168"/>
      <c r="AN230" s="166"/>
      <c r="AO230" s="168"/>
      <c r="AP230" s="166"/>
      <c r="AQ230" s="168"/>
      <c r="AR230" s="166"/>
      <c r="AS230" s="168"/>
      <c r="AT230" s="166"/>
      <c r="AU230" s="168"/>
      <c r="AV230" s="166"/>
      <c r="AW230" s="168"/>
      <c r="AX230" s="166"/>
      <c r="AY230" s="168"/>
      <c r="AZ230" s="166"/>
      <c r="BA230" s="171"/>
      <c r="BB230" s="172"/>
    </row>
    <row r="231" spans="1:54" ht="21" customHeight="1">
      <c r="A231" s="112"/>
      <c r="B231" s="113"/>
      <c r="C231" s="135" t="s">
        <v>62</v>
      </c>
      <c r="D231" s="135"/>
      <c r="E231" s="135"/>
      <c r="F231" s="135"/>
      <c r="G231" s="135"/>
      <c r="H231" s="135"/>
      <c r="I231" s="135"/>
      <c r="J231" s="135"/>
      <c r="K231" s="135"/>
      <c r="L231" s="136" t="s">
        <v>63</v>
      </c>
      <c r="M231" s="137"/>
      <c r="N231" s="137"/>
      <c r="O231" s="137"/>
      <c r="P231" s="86" t="s">
        <v>118</v>
      </c>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c r="AQ231" s="86"/>
      <c r="AR231" s="86"/>
      <c r="AS231" s="86"/>
      <c r="AT231" s="86"/>
      <c r="AU231" s="86"/>
      <c r="AV231" s="86"/>
      <c r="AW231" s="86"/>
      <c r="AX231" s="86"/>
      <c r="AY231" s="86"/>
      <c r="AZ231" s="86"/>
      <c r="BA231" s="86"/>
      <c r="BB231" s="87"/>
    </row>
    <row r="232" spans="1:54" ht="33.75" customHeight="1">
      <c r="A232" s="112"/>
      <c r="B232" s="113"/>
      <c r="C232" s="88" t="s">
        <v>119</v>
      </c>
      <c r="D232" s="88"/>
      <c r="E232" s="88"/>
      <c r="F232" s="88"/>
      <c r="G232" s="88"/>
      <c r="H232" s="88"/>
      <c r="I232" s="88"/>
      <c r="J232" s="88"/>
      <c r="K232" s="89"/>
      <c r="L232" s="138"/>
      <c r="M232" s="139"/>
      <c r="N232" s="139"/>
      <c r="O232" s="139"/>
      <c r="P232" s="88"/>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88"/>
      <c r="AN232" s="88"/>
      <c r="AO232" s="88"/>
      <c r="AP232" s="88"/>
      <c r="AQ232" s="88"/>
      <c r="AR232" s="88"/>
      <c r="AS232" s="88"/>
      <c r="AT232" s="88"/>
      <c r="AU232" s="88"/>
      <c r="AV232" s="88"/>
      <c r="AW232" s="88"/>
      <c r="AX232" s="88"/>
      <c r="AY232" s="88"/>
      <c r="AZ232" s="88"/>
      <c r="BA232" s="88"/>
      <c r="BB232" s="89"/>
    </row>
    <row r="233" spans="1:54" ht="33.75" customHeight="1">
      <c r="A233" s="112"/>
      <c r="B233" s="113"/>
      <c r="C233" s="88"/>
      <c r="D233" s="88"/>
      <c r="E233" s="88"/>
      <c r="F233" s="88"/>
      <c r="G233" s="88"/>
      <c r="H233" s="88"/>
      <c r="I233" s="88"/>
      <c r="J233" s="88"/>
      <c r="K233" s="89"/>
      <c r="L233" s="138"/>
      <c r="M233" s="139"/>
      <c r="N233" s="139"/>
      <c r="O233" s="139"/>
      <c r="P233" s="88"/>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88"/>
      <c r="AN233" s="88"/>
      <c r="AO233" s="88"/>
      <c r="AP233" s="88"/>
      <c r="AQ233" s="88"/>
      <c r="AR233" s="88"/>
      <c r="AS233" s="88"/>
      <c r="AT233" s="88"/>
      <c r="AU233" s="88"/>
      <c r="AV233" s="88"/>
      <c r="AW233" s="88"/>
      <c r="AX233" s="88"/>
      <c r="AY233" s="88"/>
      <c r="AZ233" s="88"/>
      <c r="BA233" s="88"/>
      <c r="BB233" s="89"/>
    </row>
    <row r="234" spans="1:54" ht="33.75" customHeight="1">
      <c r="A234" s="112"/>
      <c r="B234" s="113"/>
      <c r="C234" s="88"/>
      <c r="D234" s="88"/>
      <c r="E234" s="88"/>
      <c r="F234" s="88"/>
      <c r="G234" s="88"/>
      <c r="H234" s="88"/>
      <c r="I234" s="88"/>
      <c r="J234" s="88"/>
      <c r="K234" s="89"/>
      <c r="L234" s="138"/>
      <c r="M234" s="139"/>
      <c r="N234" s="139"/>
      <c r="O234" s="139"/>
      <c r="P234" s="88"/>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88"/>
      <c r="AN234" s="88"/>
      <c r="AO234" s="88"/>
      <c r="AP234" s="88"/>
      <c r="AQ234" s="88"/>
      <c r="AR234" s="88"/>
      <c r="AS234" s="88"/>
      <c r="AT234" s="88"/>
      <c r="AU234" s="88"/>
      <c r="AV234" s="88"/>
      <c r="AW234" s="88"/>
      <c r="AX234" s="88"/>
      <c r="AY234" s="88"/>
      <c r="AZ234" s="88"/>
      <c r="BA234" s="88"/>
      <c r="BB234" s="89"/>
    </row>
    <row r="235" spans="1:54" ht="33.75" customHeight="1">
      <c r="A235" s="112"/>
      <c r="B235" s="113"/>
      <c r="C235" s="88"/>
      <c r="D235" s="88"/>
      <c r="E235" s="88"/>
      <c r="F235" s="88"/>
      <c r="G235" s="88"/>
      <c r="H235" s="88"/>
      <c r="I235" s="88"/>
      <c r="J235" s="88"/>
      <c r="K235" s="89"/>
      <c r="L235" s="138"/>
      <c r="M235" s="139"/>
      <c r="N235" s="139"/>
      <c r="O235" s="139"/>
      <c r="P235" s="88"/>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88"/>
      <c r="AN235" s="88"/>
      <c r="AO235" s="88"/>
      <c r="AP235" s="88"/>
      <c r="AQ235" s="88"/>
      <c r="AR235" s="88"/>
      <c r="AS235" s="88"/>
      <c r="AT235" s="88"/>
      <c r="AU235" s="88"/>
      <c r="AV235" s="88"/>
      <c r="AW235" s="88"/>
      <c r="AX235" s="88"/>
      <c r="AY235" s="88"/>
      <c r="AZ235" s="88"/>
      <c r="BA235" s="88"/>
      <c r="BB235" s="89"/>
    </row>
    <row r="236" spans="1:54" ht="33.75" customHeight="1">
      <c r="A236" s="112"/>
      <c r="B236" s="113"/>
      <c r="C236" s="88"/>
      <c r="D236" s="88"/>
      <c r="E236" s="88"/>
      <c r="F236" s="88"/>
      <c r="G236" s="88"/>
      <c r="H236" s="88"/>
      <c r="I236" s="88"/>
      <c r="J236" s="88"/>
      <c r="K236" s="89"/>
      <c r="L236" s="138"/>
      <c r="M236" s="139"/>
      <c r="N236" s="139"/>
      <c r="O236" s="139"/>
      <c r="P236" s="88"/>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88"/>
      <c r="AN236" s="88"/>
      <c r="AO236" s="88"/>
      <c r="AP236" s="88"/>
      <c r="AQ236" s="88"/>
      <c r="AR236" s="88"/>
      <c r="AS236" s="88"/>
      <c r="AT236" s="88"/>
      <c r="AU236" s="88"/>
      <c r="AV236" s="88"/>
      <c r="AW236" s="88"/>
      <c r="AX236" s="88"/>
      <c r="AY236" s="88"/>
      <c r="AZ236" s="88"/>
      <c r="BA236" s="88"/>
      <c r="BB236" s="89"/>
    </row>
    <row r="237" spans="1:54" ht="33.75" customHeight="1">
      <c r="A237" s="112"/>
      <c r="B237" s="113"/>
      <c r="C237" s="88"/>
      <c r="D237" s="88"/>
      <c r="E237" s="88"/>
      <c r="F237" s="88"/>
      <c r="G237" s="88"/>
      <c r="H237" s="88"/>
      <c r="I237" s="88"/>
      <c r="J237" s="88"/>
      <c r="K237" s="89"/>
      <c r="L237" s="138"/>
      <c r="M237" s="139"/>
      <c r="N237" s="139"/>
      <c r="O237" s="139"/>
      <c r="P237" s="88"/>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88"/>
      <c r="AN237" s="88"/>
      <c r="AO237" s="88"/>
      <c r="AP237" s="88"/>
      <c r="AQ237" s="88"/>
      <c r="AR237" s="88"/>
      <c r="AS237" s="88"/>
      <c r="AT237" s="88"/>
      <c r="AU237" s="88"/>
      <c r="AV237" s="88"/>
      <c r="AW237" s="88"/>
      <c r="AX237" s="88"/>
      <c r="AY237" s="88"/>
      <c r="AZ237" s="88"/>
      <c r="BA237" s="88"/>
      <c r="BB237" s="89"/>
    </row>
    <row r="238" spans="1:54" ht="33.75" customHeight="1">
      <c r="A238" s="112"/>
      <c r="B238" s="113"/>
      <c r="C238" s="88"/>
      <c r="D238" s="88"/>
      <c r="E238" s="88"/>
      <c r="F238" s="88"/>
      <c r="G238" s="88"/>
      <c r="H238" s="88"/>
      <c r="I238" s="88"/>
      <c r="J238" s="88"/>
      <c r="K238" s="89"/>
      <c r="L238" s="138"/>
      <c r="M238" s="139"/>
      <c r="N238" s="139"/>
      <c r="O238" s="139"/>
      <c r="P238" s="88"/>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88"/>
      <c r="AN238" s="88"/>
      <c r="AO238" s="88"/>
      <c r="AP238" s="88"/>
      <c r="AQ238" s="88"/>
      <c r="AR238" s="88"/>
      <c r="AS238" s="88"/>
      <c r="AT238" s="88"/>
      <c r="AU238" s="88"/>
      <c r="AV238" s="88"/>
      <c r="AW238" s="88"/>
      <c r="AX238" s="88"/>
      <c r="AY238" s="88"/>
      <c r="AZ238" s="88"/>
      <c r="BA238" s="88"/>
      <c r="BB238" s="89"/>
    </row>
    <row r="239" spans="1:54" ht="33.75" customHeight="1">
      <c r="A239" s="146"/>
      <c r="B239" s="147"/>
      <c r="C239" s="90"/>
      <c r="D239" s="90"/>
      <c r="E239" s="90"/>
      <c r="F239" s="90"/>
      <c r="G239" s="90"/>
      <c r="H239" s="90"/>
      <c r="I239" s="90"/>
      <c r="J239" s="90"/>
      <c r="K239" s="91"/>
      <c r="L239" s="158"/>
      <c r="M239" s="159"/>
      <c r="N239" s="159"/>
      <c r="O239" s="159"/>
      <c r="P239" s="90"/>
      <c r="Q239" s="90"/>
      <c r="R239" s="90"/>
      <c r="S239" s="90"/>
      <c r="T239" s="90"/>
      <c r="U239" s="90"/>
      <c r="V239" s="90"/>
      <c r="W239" s="90"/>
      <c r="X239" s="90"/>
      <c r="Y239" s="90"/>
      <c r="Z239" s="90"/>
      <c r="AA239" s="90"/>
      <c r="AB239" s="90"/>
      <c r="AC239" s="90"/>
      <c r="AD239" s="90"/>
      <c r="AE239" s="90"/>
      <c r="AF239" s="90"/>
      <c r="AG239" s="90"/>
      <c r="AH239" s="90"/>
      <c r="AI239" s="90"/>
      <c r="AJ239" s="90"/>
      <c r="AK239" s="90"/>
      <c r="AL239" s="90"/>
      <c r="AM239" s="90"/>
      <c r="AN239" s="90"/>
      <c r="AO239" s="90"/>
      <c r="AP239" s="90"/>
      <c r="AQ239" s="90"/>
      <c r="AR239" s="90"/>
      <c r="AS239" s="90"/>
      <c r="AT239" s="90"/>
      <c r="AU239" s="90"/>
      <c r="AV239" s="90"/>
      <c r="AW239" s="90"/>
      <c r="AX239" s="90"/>
      <c r="AY239" s="90"/>
      <c r="AZ239" s="90"/>
      <c r="BA239" s="90"/>
      <c r="BB239" s="91"/>
    </row>
    <row r="240" spans="1:54" ht="42" customHeight="1">
      <c r="A240" s="104" t="s">
        <v>52</v>
      </c>
      <c r="B240" s="105"/>
      <c r="C240" s="104" t="s">
        <v>53</v>
      </c>
      <c r="D240" s="106"/>
      <c r="E240" s="106"/>
      <c r="F240" s="106"/>
      <c r="G240" s="106"/>
      <c r="H240" s="106"/>
      <c r="I240" s="106"/>
      <c r="J240" s="106"/>
      <c r="K240" s="105"/>
      <c r="L240" s="104" t="s">
        <v>54</v>
      </c>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5"/>
      <c r="AK240" s="107" t="s">
        <v>15</v>
      </c>
      <c r="AL240" s="108"/>
      <c r="AM240" s="108" t="s">
        <v>16</v>
      </c>
      <c r="AN240" s="108"/>
      <c r="AO240" s="108" t="s">
        <v>17</v>
      </c>
      <c r="AP240" s="108"/>
      <c r="AQ240" s="108" t="s">
        <v>18</v>
      </c>
      <c r="AR240" s="108"/>
      <c r="AS240" s="108" t="s">
        <v>19</v>
      </c>
      <c r="AT240" s="108"/>
      <c r="AU240" s="108" t="s">
        <v>20</v>
      </c>
      <c r="AV240" s="108"/>
      <c r="AW240" s="108" t="s">
        <v>21</v>
      </c>
      <c r="AX240" s="108"/>
      <c r="AY240" s="108" t="s">
        <v>22</v>
      </c>
      <c r="AZ240" s="108"/>
      <c r="BA240" s="108" t="s">
        <v>23</v>
      </c>
      <c r="BB240" s="109"/>
    </row>
    <row r="241" spans="1:54" ht="21" customHeight="1">
      <c r="A241" s="110">
        <v>17</v>
      </c>
      <c r="B241" s="111"/>
      <c r="C241" s="162">
        <v>42005</v>
      </c>
      <c r="D241" s="162"/>
      <c r="E241" s="162"/>
      <c r="F241" s="162"/>
      <c r="G241" s="12" t="s">
        <v>55</v>
      </c>
      <c r="H241" s="162">
        <v>42095</v>
      </c>
      <c r="I241" s="162"/>
      <c r="J241" s="162"/>
      <c r="K241" s="177"/>
      <c r="L241" s="115" t="s">
        <v>56</v>
      </c>
      <c r="M241" s="116"/>
      <c r="N241" s="116"/>
      <c r="O241" s="116"/>
      <c r="P241" s="16" t="s">
        <v>120</v>
      </c>
      <c r="Q241" s="16"/>
      <c r="R241" s="16"/>
      <c r="S241" s="16"/>
      <c r="T241" s="16"/>
      <c r="U241" s="16"/>
      <c r="V241" s="16"/>
      <c r="W241" s="16"/>
      <c r="X241" s="16"/>
      <c r="Y241" s="16"/>
      <c r="Z241" s="16"/>
      <c r="AA241" s="16"/>
      <c r="AB241" s="16"/>
      <c r="AC241" s="16"/>
      <c r="AD241" s="16"/>
      <c r="AE241" s="16"/>
      <c r="AF241" s="16"/>
      <c r="AG241" s="16"/>
      <c r="AH241" s="16"/>
      <c r="AI241" s="16"/>
      <c r="AJ241" s="17"/>
      <c r="AK241" s="163" t="s">
        <v>27</v>
      </c>
      <c r="AL241" s="164"/>
      <c r="AM241" s="167" t="s">
        <v>27</v>
      </c>
      <c r="AN241" s="164"/>
      <c r="AO241" s="167" t="s">
        <v>28</v>
      </c>
      <c r="AP241" s="164"/>
      <c r="AQ241" s="167" t="s">
        <v>28</v>
      </c>
      <c r="AR241" s="164"/>
      <c r="AS241" s="167" t="s">
        <v>29</v>
      </c>
      <c r="AT241" s="164"/>
      <c r="AU241" s="167" t="s">
        <v>28</v>
      </c>
      <c r="AV241" s="164"/>
      <c r="AW241" s="167" t="s">
        <v>28</v>
      </c>
      <c r="AX241" s="164"/>
      <c r="AY241" s="167" t="s">
        <v>27</v>
      </c>
      <c r="AZ241" s="164"/>
      <c r="BA241" s="169" t="s">
        <v>27</v>
      </c>
      <c r="BB241" s="170"/>
    </row>
    <row r="242" spans="1:54" ht="21" customHeight="1">
      <c r="A242" s="112"/>
      <c r="B242" s="113"/>
      <c r="C242" s="173" t="str">
        <f t="shared" ref="C242" ca="1" si="16">IF(H241="現在",IF(DATEDIF(C241,TODAY(),"YM")+1=12,DATEDIF(C241,TODAY(),"Y")+1&amp;"年",DATEDIF(C241,TODAY(),"Y")&amp;"年"&amp;DATEDIF(C241,TODAY(),"YM")+1&amp;"ヶ月"),IF(DATEDIF(C241,H241,"YM")+1=12,DATEDIF(C241,H241,"Y")+1&amp;"年",DATEDIF(C241,H241,"Y")&amp;"年"&amp;DATEDIF(C241,H241,"YM")+1&amp;"ヶ月"))</f>
        <v>0年4ヶ月</v>
      </c>
      <c r="D242" s="173"/>
      <c r="E242" s="173"/>
      <c r="F242" s="173"/>
      <c r="G242" s="173"/>
      <c r="H242" s="173"/>
      <c r="I242" s="173"/>
      <c r="J242" s="173"/>
      <c r="K242" s="174"/>
      <c r="L242" s="115" t="s">
        <v>58</v>
      </c>
      <c r="M242" s="116"/>
      <c r="N242" s="116"/>
      <c r="O242" s="116"/>
      <c r="P242" s="131" t="s">
        <v>59</v>
      </c>
      <c r="Q242" s="131"/>
      <c r="R242" s="131"/>
      <c r="S242" s="131"/>
      <c r="T242" s="131"/>
      <c r="U242" s="131"/>
      <c r="V242" s="131"/>
      <c r="W242" s="131"/>
      <c r="X242" s="131"/>
      <c r="Y242" s="131"/>
      <c r="Z242" s="131"/>
      <c r="AA242" s="131"/>
      <c r="AB242" s="132"/>
      <c r="AC242" s="115" t="s">
        <v>60</v>
      </c>
      <c r="AD242" s="116"/>
      <c r="AE242" s="116"/>
      <c r="AF242" s="116"/>
      <c r="AG242" s="175" t="s">
        <v>71</v>
      </c>
      <c r="AH242" s="175"/>
      <c r="AI242" s="175"/>
      <c r="AJ242" s="176"/>
      <c r="AK242" s="165"/>
      <c r="AL242" s="166"/>
      <c r="AM242" s="168"/>
      <c r="AN242" s="166"/>
      <c r="AO242" s="168"/>
      <c r="AP242" s="166"/>
      <c r="AQ242" s="168"/>
      <c r="AR242" s="166"/>
      <c r="AS242" s="168"/>
      <c r="AT242" s="166"/>
      <c r="AU242" s="168"/>
      <c r="AV242" s="166"/>
      <c r="AW242" s="168"/>
      <c r="AX242" s="166"/>
      <c r="AY242" s="168"/>
      <c r="AZ242" s="166"/>
      <c r="BA242" s="171"/>
      <c r="BB242" s="172"/>
    </row>
    <row r="243" spans="1:54" ht="21" customHeight="1">
      <c r="A243" s="112"/>
      <c r="B243" s="113"/>
      <c r="C243" s="135" t="s">
        <v>62</v>
      </c>
      <c r="D243" s="135"/>
      <c r="E243" s="135"/>
      <c r="F243" s="135"/>
      <c r="G243" s="135"/>
      <c r="H243" s="135"/>
      <c r="I243" s="135"/>
      <c r="J243" s="135"/>
      <c r="K243" s="135"/>
      <c r="L243" s="136" t="s">
        <v>63</v>
      </c>
      <c r="M243" s="137"/>
      <c r="N243" s="137"/>
      <c r="O243" s="137"/>
      <c r="P243" s="86" t="s">
        <v>121</v>
      </c>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c r="AQ243" s="86"/>
      <c r="AR243" s="86"/>
      <c r="AS243" s="86"/>
      <c r="AT243" s="86"/>
      <c r="AU243" s="86"/>
      <c r="AV243" s="86"/>
      <c r="AW243" s="86"/>
      <c r="AX243" s="86"/>
      <c r="AY243" s="86"/>
      <c r="AZ243" s="86"/>
      <c r="BA243" s="86"/>
      <c r="BB243" s="87"/>
    </row>
    <row r="244" spans="1:54" ht="20.100000000000001" customHeight="1">
      <c r="A244" s="112"/>
      <c r="B244" s="113"/>
      <c r="C244" s="88" t="s">
        <v>122</v>
      </c>
      <c r="D244" s="88"/>
      <c r="E244" s="88"/>
      <c r="F244" s="88"/>
      <c r="G244" s="88"/>
      <c r="H244" s="88"/>
      <c r="I244" s="88"/>
      <c r="J244" s="88"/>
      <c r="K244" s="89"/>
      <c r="L244" s="138"/>
      <c r="M244" s="139"/>
      <c r="N244" s="139"/>
      <c r="O244" s="139"/>
      <c r="P244" s="88"/>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88"/>
      <c r="AN244" s="88"/>
      <c r="AO244" s="88"/>
      <c r="AP244" s="88"/>
      <c r="AQ244" s="88"/>
      <c r="AR244" s="88"/>
      <c r="AS244" s="88"/>
      <c r="AT244" s="88"/>
      <c r="AU244" s="88"/>
      <c r="AV244" s="88"/>
      <c r="AW244" s="88"/>
      <c r="AX244" s="88"/>
      <c r="AY244" s="88"/>
      <c r="AZ244" s="88"/>
      <c r="BA244" s="88"/>
      <c r="BB244" s="89"/>
    </row>
    <row r="245" spans="1:54" ht="20.100000000000001" customHeight="1">
      <c r="A245" s="112"/>
      <c r="B245" s="113"/>
      <c r="C245" s="88"/>
      <c r="D245" s="88"/>
      <c r="E245" s="88"/>
      <c r="F245" s="88"/>
      <c r="G245" s="88"/>
      <c r="H245" s="88"/>
      <c r="I245" s="88"/>
      <c r="J245" s="88"/>
      <c r="K245" s="89"/>
      <c r="L245" s="138"/>
      <c r="M245" s="139"/>
      <c r="N245" s="139"/>
      <c r="O245" s="139"/>
      <c r="P245" s="88"/>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88"/>
      <c r="AN245" s="88"/>
      <c r="AO245" s="88"/>
      <c r="AP245" s="88"/>
      <c r="AQ245" s="88"/>
      <c r="AR245" s="88"/>
      <c r="AS245" s="88"/>
      <c r="AT245" s="88"/>
      <c r="AU245" s="88"/>
      <c r="AV245" s="88"/>
      <c r="AW245" s="88"/>
      <c r="AX245" s="88"/>
      <c r="AY245" s="88"/>
      <c r="AZ245" s="88"/>
      <c r="BA245" s="88"/>
      <c r="BB245" s="89"/>
    </row>
    <row r="246" spans="1:54" ht="20.100000000000001" customHeight="1">
      <c r="A246" s="112"/>
      <c r="B246" s="113"/>
      <c r="C246" s="88"/>
      <c r="D246" s="88"/>
      <c r="E246" s="88"/>
      <c r="F246" s="88"/>
      <c r="G246" s="88"/>
      <c r="H246" s="88"/>
      <c r="I246" s="88"/>
      <c r="J246" s="88"/>
      <c r="K246" s="89"/>
      <c r="L246" s="138"/>
      <c r="M246" s="139"/>
      <c r="N246" s="139"/>
      <c r="O246" s="139"/>
      <c r="P246" s="88"/>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88"/>
      <c r="AN246" s="88"/>
      <c r="AO246" s="88"/>
      <c r="AP246" s="88"/>
      <c r="AQ246" s="88"/>
      <c r="AR246" s="88"/>
      <c r="AS246" s="88"/>
      <c r="AT246" s="88"/>
      <c r="AU246" s="88"/>
      <c r="AV246" s="88"/>
      <c r="AW246" s="88"/>
      <c r="AX246" s="88"/>
      <c r="AY246" s="88"/>
      <c r="AZ246" s="88"/>
      <c r="BA246" s="88"/>
      <c r="BB246" s="89"/>
    </row>
    <row r="247" spans="1:54" ht="20.100000000000001" customHeight="1">
      <c r="A247" s="112"/>
      <c r="B247" s="113"/>
      <c r="C247" s="88"/>
      <c r="D247" s="88"/>
      <c r="E247" s="88"/>
      <c r="F247" s="88"/>
      <c r="G247" s="88"/>
      <c r="H247" s="88"/>
      <c r="I247" s="88"/>
      <c r="J247" s="88"/>
      <c r="K247" s="89"/>
      <c r="L247" s="138"/>
      <c r="M247" s="139"/>
      <c r="N247" s="139"/>
      <c r="O247" s="139"/>
      <c r="P247" s="88"/>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88"/>
      <c r="AN247" s="88"/>
      <c r="AO247" s="88"/>
      <c r="AP247" s="88"/>
      <c r="AQ247" s="88"/>
      <c r="AR247" s="88"/>
      <c r="AS247" s="88"/>
      <c r="AT247" s="88"/>
      <c r="AU247" s="88"/>
      <c r="AV247" s="88"/>
      <c r="AW247" s="88"/>
      <c r="AX247" s="88"/>
      <c r="AY247" s="88"/>
      <c r="AZ247" s="88"/>
      <c r="BA247" s="88"/>
      <c r="BB247" s="89"/>
    </row>
    <row r="248" spans="1:54" ht="20.100000000000001" customHeight="1">
      <c r="A248" s="112"/>
      <c r="B248" s="113"/>
      <c r="C248" s="88"/>
      <c r="D248" s="88"/>
      <c r="E248" s="88"/>
      <c r="F248" s="88"/>
      <c r="G248" s="88"/>
      <c r="H248" s="88"/>
      <c r="I248" s="88"/>
      <c r="J248" s="88"/>
      <c r="K248" s="89"/>
      <c r="L248" s="138"/>
      <c r="M248" s="139"/>
      <c r="N248" s="139"/>
      <c r="O248" s="139"/>
      <c r="P248" s="88"/>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88"/>
      <c r="AN248" s="88"/>
      <c r="AO248" s="88"/>
      <c r="AP248" s="88"/>
      <c r="AQ248" s="88"/>
      <c r="AR248" s="88"/>
      <c r="AS248" s="88"/>
      <c r="AT248" s="88"/>
      <c r="AU248" s="88"/>
      <c r="AV248" s="88"/>
      <c r="AW248" s="88"/>
      <c r="AX248" s="88"/>
      <c r="AY248" s="88"/>
      <c r="AZ248" s="88"/>
      <c r="BA248" s="88"/>
      <c r="BB248" s="89"/>
    </row>
    <row r="249" spans="1:54" ht="20.100000000000001" customHeight="1">
      <c r="A249" s="112"/>
      <c r="B249" s="113"/>
      <c r="C249" s="88"/>
      <c r="D249" s="88"/>
      <c r="E249" s="88"/>
      <c r="F249" s="88"/>
      <c r="G249" s="88"/>
      <c r="H249" s="88"/>
      <c r="I249" s="88"/>
      <c r="J249" s="88"/>
      <c r="K249" s="89"/>
      <c r="L249" s="138"/>
      <c r="M249" s="139"/>
      <c r="N249" s="139"/>
      <c r="O249" s="139"/>
      <c r="P249" s="88"/>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88"/>
      <c r="AN249" s="88"/>
      <c r="AO249" s="88"/>
      <c r="AP249" s="88"/>
      <c r="AQ249" s="88"/>
      <c r="AR249" s="88"/>
      <c r="AS249" s="88"/>
      <c r="AT249" s="88"/>
      <c r="AU249" s="88"/>
      <c r="AV249" s="88"/>
      <c r="AW249" s="88"/>
      <c r="AX249" s="88"/>
      <c r="AY249" s="88"/>
      <c r="AZ249" s="88"/>
      <c r="BA249" s="88"/>
      <c r="BB249" s="89"/>
    </row>
    <row r="250" spans="1:54" ht="20.100000000000001" customHeight="1">
      <c r="A250" s="112"/>
      <c r="B250" s="113"/>
      <c r="C250" s="88"/>
      <c r="D250" s="88"/>
      <c r="E250" s="88"/>
      <c r="F250" s="88"/>
      <c r="G250" s="88"/>
      <c r="H250" s="88"/>
      <c r="I250" s="88"/>
      <c r="J250" s="88"/>
      <c r="K250" s="89"/>
      <c r="L250" s="138"/>
      <c r="M250" s="139"/>
      <c r="N250" s="139"/>
      <c r="O250" s="139"/>
      <c r="P250" s="88"/>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88"/>
      <c r="AN250" s="88"/>
      <c r="AO250" s="88"/>
      <c r="AP250" s="88"/>
      <c r="AQ250" s="88"/>
      <c r="AR250" s="88"/>
      <c r="AS250" s="88"/>
      <c r="AT250" s="88"/>
      <c r="AU250" s="88"/>
      <c r="AV250" s="88"/>
      <c r="AW250" s="88"/>
      <c r="AX250" s="88"/>
      <c r="AY250" s="88"/>
      <c r="AZ250" s="88"/>
      <c r="BA250" s="88"/>
      <c r="BB250" s="89"/>
    </row>
    <row r="251" spans="1:54" ht="32.1" customHeight="1">
      <c r="A251" s="112"/>
      <c r="B251" s="113"/>
      <c r="C251" s="88"/>
      <c r="D251" s="88"/>
      <c r="E251" s="88"/>
      <c r="F251" s="88"/>
      <c r="G251" s="88"/>
      <c r="H251" s="88"/>
      <c r="I251" s="88"/>
      <c r="J251" s="88"/>
      <c r="K251" s="89"/>
      <c r="L251" s="138"/>
      <c r="M251" s="139"/>
      <c r="N251" s="139"/>
      <c r="O251" s="139"/>
      <c r="P251" s="88"/>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88"/>
      <c r="AN251" s="88"/>
      <c r="AO251" s="88"/>
      <c r="AP251" s="88"/>
      <c r="AQ251" s="88"/>
      <c r="AR251" s="88"/>
      <c r="AS251" s="88"/>
      <c r="AT251" s="88"/>
      <c r="AU251" s="88"/>
      <c r="AV251" s="88"/>
      <c r="AW251" s="88"/>
      <c r="AX251" s="88"/>
      <c r="AY251" s="88"/>
      <c r="AZ251" s="88"/>
      <c r="BA251" s="88"/>
      <c r="BB251" s="89"/>
    </row>
    <row r="252" spans="1:54" ht="42" customHeight="1">
      <c r="A252" s="104" t="s">
        <v>52</v>
      </c>
      <c r="B252" s="105"/>
      <c r="C252" s="104" t="s">
        <v>53</v>
      </c>
      <c r="D252" s="106"/>
      <c r="E252" s="106"/>
      <c r="F252" s="106"/>
      <c r="G252" s="106"/>
      <c r="H252" s="106"/>
      <c r="I252" s="106"/>
      <c r="J252" s="106"/>
      <c r="K252" s="105"/>
      <c r="L252" s="104" t="s">
        <v>54</v>
      </c>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5"/>
      <c r="AK252" s="107" t="s">
        <v>15</v>
      </c>
      <c r="AL252" s="108"/>
      <c r="AM252" s="108" t="s">
        <v>16</v>
      </c>
      <c r="AN252" s="108"/>
      <c r="AO252" s="108" t="s">
        <v>17</v>
      </c>
      <c r="AP252" s="108"/>
      <c r="AQ252" s="108" t="s">
        <v>18</v>
      </c>
      <c r="AR252" s="108"/>
      <c r="AS252" s="108" t="s">
        <v>19</v>
      </c>
      <c r="AT252" s="108"/>
      <c r="AU252" s="108" t="s">
        <v>20</v>
      </c>
      <c r="AV252" s="108"/>
      <c r="AW252" s="108" t="s">
        <v>21</v>
      </c>
      <c r="AX252" s="108"/>
      <c r="AY252" s="108" t="s">
        <v>22</v>
      </c>
      <c r="AZ252" s="108"/>
      <c r="BA252" s="108" t="s">
        <v>23</v>
      </c>
      <c r="BB252" s="109"/>
    </row>
    <row r="253" spans="1:54" ht="21" customHeight="1">
      <c r="A253" s="110">
        <v>18</v>
      </c>
      <c r="B253" s="111"/>
      <c r="C253" s="162">
        <v>41852</v>
      </c>
      <c r="D253" s="162"/>
      <c r="E253" s="162"/>
      <c r="F253" s="162"/>
      <c r="G253" s="12" t="s">
        <v>55</v>
      </c>
      <c r="H253" s="162">
        <v>41974</v>
      </c>
      <c r="I253" s="162"/>
      <c r="J253" s="162"/>
      <c r="K253" s="177"/>
      <c r="L253" s="115" t="s">
        <v>56</v>
      </c>
      <c r="M253" s="116"/>
      <c r="N253" s="116"/>
      <c r="O253" s="116"/>
      <c r="P253" s="16" t="s">
        <v>123</v>
      </c>
      <c r="Q253" s="16"/>
      <c r="R253" s="16"/>
      <c r="S253" s="16"/>
      <c r="T253" s="16"/>
      <c r="U253" s="16"/>
      <c r="V253" s="16"/>
      <c r="W253" s="16"/>
      <c r="X253" s="16"/>
      <c r="Y253" s="16"/>
      <c r="Z253" s="16"/>
      <c r="AA253" s="16"/>
      <c r="AB253" s="16"/>
      <c r="AC253" s="16"/>
      <c r="AD253" s="16"/>
      <c r="AE253" s="16"/>
      <c r="AF253" s="16"/>
      <c r="AG253" s="16"/>
      <c r="AH253" s="16"/>
      <c r="AI253" s="16"/>
      <c r="AJ253" s="17"/>
      <c r="AK253" s="167" t="s">
        <v>55</v>
      </c>
      <c r="AL253" s="164"/>
      <c r="AM253" s="167" t="s">
        <v>28</v>
      </c>
      <c r="AN253" s="164"/>
      <c r="AO253" s="167" t="s">
        <v>28</v>
      </c>
      <c r="AP253" s="164"/>
      <c r="AQ253" s="167" t="s">
        <v>28</v>
      </c>
      <c r="AR253" s="164"/>
      <c r="AS253" s="167" t="s">
        <v>29</v>
      </c>
      <c r="AT253" s="164"/>
      <c r="AU253" s="167" t="s">
        <v>29</v>
      </c>
      <c r="AV253" s="164"/>
      <c r="AW253" s="167" t="s">
        <v>27</v>
      </c>
      <c r="AX253" s="164"/>
      <c r="AY253" s="167" t="s">
        <v>27</v>
      </c>
      <c r="AZ253" s="164"/>
      <c r="BA253" s="169" t="s">
        <v>27</v>
      </c>
      <c r="BB253" s="170"/>
    </row>
    <row r="254" spans="1:54" ht="21" customHeight="1">
      <c r="A254" s="112"/>
      <c r="B254" s="113"/>
      <c r="C254" s="173" t="str">
        <f t="shared" ref="C254" ca="1" si="17">IF(H253="現在",IF(DATEDIF(C253,TODAY(),"YM")+1=12,DATEDIF(C253,TODAY(),"Y")+1&amp;"年",DATEDIF(C253,TODAY(),"Y")&amp;"年"&amp;DATEDIF(C253,TODAY(),"YM")+1&amp;"ヶ月"),IF(DATEDIF(C253,H253,"YM")+1=12,DATEDIF(C253,H253,"Y")+1&amp;"年",DATEDIF(C253,H253,"Y")&amp;"年"&amp;DATEDIF(C253,H253,"YM")+1&amp;"ヶ月"))</f>
        <v>0年5ヶ月</v>
      </c>
      <c r="D254" s="173"/>
      <c r="E254" s="173"/>
      <c r="F254" s="173"/>
      <c r="G254" s="173"/>
      <c r="H254" s="173"/>
      <c r="I254" s="173"/>
      <c r="J254" s="173"/>
      <c r="K254" s="174"/>
      <c r="L254" s="115" t="s">
        <v>58</v>
      </c>
      <c r="M254" s="116"/>
      <c r="N254" s="116"/>
      <c r="O254" s="116"/>
      <c r="P254" s="131" t="s">
        <v>59</v>
      </c>
      <c r="Q254" s="131"/>
      <c r="R254" s="131"/>
      <c r="S254" s="131"/>
      <c r="T254" s="131"/>
      <c r="U254" s="131"/>
      <c r="V254" s="131"/>
      <c r="W254" s="131"/>
      <c r="X254" s="131"/>
      <c r="Y254" s="131"/>
      <c r="Z254" s="131"/>
      <c r="AA254" s="131"/>
      <c r="AB254" s="132"/>
      <c r="AC254" s="115" t="s">
        <v>60</v>
      </c>
      <c r="AD254" s="116"/>
      <c r="AE254" s="116"/>
      <c r="AF254" s="116"/>
      <c r="AG254" s="175" t="s">
        <v>104</v>
      </c>
      <c r="AH254" s="175"/>
      <c r="AI254" s="175"/>
      <c r="AJ254" s="176"/>
      <c r="AK254" s="168"/>
      <c r="AL254" s="166"/>
      <c r="AM254" s="168"/>
      <c r="AN254" s="166"/>
      <c r="AO254" s="168"/>
      <c r="AP254" s="166"/>
      <c r="AQ254" s="168"/>
      <c r="AR254" s="166"/>
      <c r="AS254" s="168"/>
      <c r="AT254" s="166"/>
      <c r="AU254" s="168"/>
      <c r="AV254" s="166"/>
      <c r="AW254" s="168"/>
      <c r="AX254" s="166"/>
      <c r="AY254" s="168"/>
      <c r="AZ254" s="166"/>
      <c r="BA254" s="171"/>
      <c r="BB254" s="172"/>
    </row>
    <row r="255" spans="1:54" ht="21" customHeight="1">
      <c r="A255" s="112"/>
      <c r="B255" s="113"/>
      <c r="C255" s="135" t="s">
        <v>62</v>
      </c>
      <c r="D255" s="135"/>
      <c r="E255" s="135"/>
      <c r="F255" s="135"/>
      <c r="G255" s="135"/>
      <c r="H255" s="135"/>
      <c r="I255" s="135"/>
      <c r="J255" s="135"/>
      <c r="K255" s="135"/>
      <c r="L255" s="136" t="s">
        <v>63</v>
      </c>
      <c r="M255" s="137"/>
      <c r="N255" s="137"/>
      <c r="O255" s="137"/>
      <c r="P255" s="86" t="s">
        <v>124</v>
      </c>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c r="AQ255" s="86"/>
      <c r="AR255" s="86"/>
      <c r="AS255" s="86"/>
      <c r="AT255" s="86"/>
      <c r="AU255" s="86"/>
      <c r="AV255" s="86"/>
      <c r="AW255" s="86"/>
      <c r="AX255" s="86"/>
      <c r="AY255" s="86"/>
      <c r="AZ255" s="86"/>
      <c r="BA255" s="86"/>
      <c r="BB255" s="87"/>
    </row>
    <row r="256" spans="1:54" ht="28.5" customHeight="1">
      <c r="A256" s="112"/>
      <c r="B256" s="113"/>
      <c r="C256" s="88" t="s">
        <v>125</v>
      </c>
      <c r="D256" s="88"/>
      <c r="E256" s="88"/>
      <c r="F256" s="88"/>
      <c r="G256" s="88"/>
      <c r="H256" s="88"/>
      <c r="I256" s="88"/>
      <c r="J256" s="88"/>
      <c r="K256" s="89"/>
      <c r="L256" s="138"/>
      <c r="M256" s="139"/>
      <c r="N256" s="139"/>
      <c r="O256" s="139"/>
      <c r="P256" s="88"/>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88"/>
      <c r="AN256" s="88"/>
      <c r="AO256" s="88"/>
      <c r="AP256" s="88"/>
      <c r="AQ256" s="88"/>
      <c r="AR256" s="88"/>
      <c r="AS256" s="88"/>
      <c r="AT256" s="88"/>
      <c r="AU256" s="88"/>
      <c r="AV256" s="88"/>
      <c r="AW256" s="88"/>
      <c r="AX256" s="88"/>
      <c r="AY256" s="88"/>
      <c r="AZ256" s="88"/>
      <c r="BA256" s="88"/>
      <c r="BB256" s="89"/>
    </row>
    <row r="257" spans="1:54" ht="28.5" customHeight="1">
      <c r="A257" s="112"/>
      <c r="B257" s="113"/>
      <c r="C257" s="88"/>
      <c r="D257" s="88"/>
      <c r="E257" s="88"/>
      <c r="F257" s="88"/>
      <c r="G257" s="88"/>
      <c r="H257" s="88"/>
      <c r="I257" s="88"/>
      <c r="J257" s="88"/>
      <c r="K257" s="89"/>
      <c r="L257" s="138"/>
      <c r="M257" s="139"/>
      <c r="N257" s="139"/>
      <c r="O257" s="139"/>
      <c r="P257" s="88"/>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88"/>
      <c r="AN257" s="88"/>
      <c r="AO257" s="88"/>
      <c r="AP257" s="88"/>
      <c r="AQ257" s="88"/>
      <c r="AR257" s="88"/>
      <c r="AS257" s="88"/>
      <c r="AT257" s="88"/>
      <c r="AU257" s="88"/>
      <c r="AV257" s="88"/>
      <c r="AW257" s="88"/>
      <c r="AX257" s="88"/>
      <c r="AY257" s="88"/>
      <c r="AZ257" s="88"/>
      <c r="BA257" s="88"/>
      <c r="BB257" s="89"/>
    </row>
    <row r="258" spans="1:54" ht="28.5" customHeight="1">
      <c r="A258" s="112"/>
      <c r="B258" s="113"/>
      <c r="C258" s="88"/>
      <c r="D258" s="88"/>
      <c r="E258" s="88"/>
      <c r="F258" s="88"/>
      <c r="G258" s="88"/>
      <c r="H258" s="88"/>
      <c r="I258" s="88"/>
      <c r="J258" s="88"/>
      <c r="K258" s="89"/>
      <c r="L258" s="138"/>
      <c r="M258" s="139"/>
      <c r="N258" s="139"/>
      <c r="O258" s="139"/>
      <c r="P258" s="88"/>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88"/>
      <c r="AN258" s="88"/>
      <c r="AO258" s="88"/>
      <c r="AP258" s="88"/>
      <c r="AQ258" s="88"/>
      <c r="AR258" s="88"/>
      <c r="AS258" s="88"/>
      <c r="AT258" s="88"/>
      <c r="AU258" s="88"/>
      <c r="AV258" s="88"/>
      <c r="AW258" s="88"/>
      <c r="AX258" s="88"/>
      <c r="AY258" s="88"/>
      <c r="AZ258" s="88"/>
      <c r="BA258" s="88"/>
      <c r="BB258" s="89"/>
    </row>
    <row r="259" spans="1:54" ht="28.5" customHeight="1">
      <c r="A259" s="112"/>
      <c r="B259" s="113"/>
      <c r="C259" s="88"/>
      <c r="D259" s="88"/>
      <c r="E259" s="88"/>
      <c r="F259" s="88"/>
      <c r="G259" s="88"/>
      <c r="H259" s="88"/>
      <c r="I259" s="88"/>
      <c r="J259" s="88"/>
      <c r="K259" s="89"/>
      <c r="L259" s="138"/>
      <c r="M259" s="139"/>
      <c r="N259" s="139"/>
      <c r="O259" s="139"/>
      <c r="P259" s="88"/>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88"/>
      <c r="AN259" s="88"/>
      <c r="AO259" s="88"/>
      <c r="AP259" s="88"/>
      <c r="AQ259" s="88"/>
      <c r="AR259" s="88"/>
      <c r="AS259" s="88"/>
      <c r="AT259" s="88"/>
      <c r="AU259" s="88"/>
      <c r="AV259" s="88"/>
      <c r="AW259" s="88"/>
      <c r="AX259" s="88"/>
      <c r="AY259" s="88"/>
      <c r="AZ259" s="88"/>
      <c r="BA259" s="88"/>
      <c r="BB259" s="89"/>
    </row>
    <row r="260" spans="1:54" ht="28.5" customHeight="1">
      <c r="A260" s="112"/>
      <c r="B260" s="113"/>
      <c r="C260" s="88"/>
      <c r="D260" s="88"/>
      <c r="E260" s="88"/>
      <c r="F260" s="88"/>
      <c r="G260" s="88"/>
      <c r="H260" s="88"/>
      <c r="I260" s="88"/>
      <c r="J260" s="88"/>
      <c r="K260" s="89"/>
      <c r="L260" s="138"/>
      <c r="M260" s="139"/>
      <c r="N260" s="139"/>
      <c r="O260" s="139"/>
      <c r="P260" s="88"/>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88"/>
      <c r="AN260" s="88"/>
      <c r="AO260" s="88"/>
      <c r="AP260" s="88"/>
      <c r="AQ260" s="88"/>
      <c r="AR260" s="88"/>
      <c r="AS260" s="88"/>
      <c r="AT260" s="88"/>
      <c r="AU260" s="88"/>
      <c r="AV260" s="88"/>
      <c r="AW260" s="88"/>
      <c r="AX260" s="88"/>
      <c r="AY260" s="88"/>
      <c r="AZ260" s="88"/>
      <c r="BA260" s="88"/>
      <c r="BB260" s="89"/>
    </row>
    <row r="261" spans="1:54" ht="28.5" customHeight="1">
      <c r="A261" s="112"/>
      <c r="B261" s="113"/>
      <c r="C261" s="88"/>
      <c r="D261" s="88"/>
      <c r="E261" s="88"/>
      <c r="F261" s="88"/>
      <c r="G261" s="88"/>
      <c r="H261" s="88"/>
      <c r="I261" s="88"/>
      <c r="J261" s="88"/>
      <c r="K261" s="89"/>
      <c r="L261" s="138"/>
      <c r="M261" s="139"/>
      <c r="N261" s="139"/>
      <c r="O261" s="139"/>
      <c r="P261" s="88"/>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88"/>
      <c r="AN261" s="88"/>
      <c r="AO261" s="88"/>
      <c r="AP261" s="88"/>
      <c r="AQ261" s="88"/>
      <c r="AR261" s="88"/>
      <c r="AS261" s="88"/>
      <c r="AT261" s="88"/>
      <c r="AU261" s="88"/>
      <c r="AV261" s="88"/>
      <c r="AW261" s="88"/>
      <c r="AX261" s="88"/>
      <c r="AY261" s="88"/>
      <c r="AZ261" s="88"/>
      <c r="BA261" s="88"/>
      <c r="BB261" s="89"/>
    </row>
    <row r="262" spans="1:54" ht="28.5" customHeight="1">
      <c r="A262" s="112"/>
      <c r="B262" s="113"/>
      <c r="C262" s="88"/>
      <c r="D262" s="88"/>
      <c r="E262" s="88"/>
      <c r="F262" s="88"/>
      <c r="G262" s="88"/>
      <c r="H262" s="88"/>
      <c r="I262" s="88"/>
      <c r="J262" s="88"/>
      <c r="K262" s="89"/>
      <c r="L262" s="138"/>
      <c r="M262" s="139"/>
      <c r="N262" s="139"/>
      <c r="O262" s="139"/>
      <c r="P262" s="88"/>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U262" s="88"/>
      <c r="AV262" s="88"/>
      <c r="AW262" s="88"/>
      <c r="AX262" s="88"/>
      <c r="AY262" s="88"/>
      <c r="AZ262" s="88"/>
      <c r="BA262" s="88"/>
      <c r="BB262" s="89"/>
    </row>
    <row r="263" spans="1:54" ht="28.5" customHeight="1">
      <c r="A263" s="112"/>
      <c r="B263" s="113"/>
      <c r="C263" s="88"/>
      <c r="D263" s="88"/>
      <c r="E263" s="88"/>
      <c r="F263" s="88"/>
      <c r="G263" s="88"/>
      <c r="H263" s="88"/>
      <c r="I263" s="88"/>
      <c r="J263" s="88"/>
      <c r="K263" s="89"/>
      <c r="L263" s="138"/>
      <c r="M263" s="139"/>
      <c r="N263" s="139"/>
      <c r="O263" s="139"/>
      <c r="P263" s="88"/>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88"/>
      <c r="AN263" s="88"/>
      <c r="AO263" s="88"/>
      <c r="AP263" s="88"/>
      <c r="AQ263" s="88"/>
      <c r="AR263" s="88"/>
      <c r="AS263" s="88"/>
      <c r="AT263" s="88"/>
      <c r="AU263" s="88"/>
      <c r="AV263" s="88"/>
      <c r="AW263" s="88"/>
      <c r="AX263" s="88"/>
      <c r="AY263" s="88"/>
      <c r="AZ263" s="88"/>
      <c r="BA263" s="88"/>
      <c r="BB263" s="89"/>
    </row>
    <row r="264" spans="1:54" ht="42" customHeight="1">
      <c r="A264" s="104" t="s">
        <v>52</v>
      </c>
      <c r="B264" s="105"/>
      <c r="C264" s="104" t="s">
        <v>53</v>
      </c>
      <c r="D264" s="106"/>
      <c r="E264" s="106"/>
      <c r="F264" s="106"/>
      <c r="G264" s="106"/>
      <c r="H264" s="106"/>
      <c r="I264" s="106"/>
      <c r="J264" s="106"/>
      <c r="K264" s="105"/>
      <c r="L264" s="104" t="s">
        <v>54</v>
      </c>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5"/>
      <c r="AK264" s="107" t="s">
        <v>15</v>
      </c>
      <c r="AL264" s="108"/>
      <c r="AM264" s="108" t="s">
        <v>16</v>
      </c>
      <c r="AN264" s="108"/>
      <c r="AO264" s="108" t="s">
        <v>17</v>
      </c>
      <c r="AP264" s="108"/>
      <c r="AQ264" s="108" t="s">
        <v>18</v>
      </c>
      <c r="AR264" s="108"/>
      <c r="AS264" s="108" t="s">
        <v>19</v>
      </c>
      <c r="AT264" s="108"/>
      <c r="AU264" s="108" t="s">
        <v>20</v>
      </c>
      <c r="AV264" s="108"/>
      <c r="AW264" s="108" t="s">
        <v>21</v>
      </c>
      <c r="AX264" s="108"/>
      <c r="AY264" s="108" t="s">
        <v>22</v>
      </c>
      <c r="AZ264" s="108"/>
      <c r="BA264" s="108" t="s">
        <v>23</v>
      </c>
      <c r="BB264" s="109"/>
    </row>
    <row r="265" spans="1:54" ht="21" customHeight="1">
      <c r="A265" s="110">
        <v>19</v>
      </c>
      <c r="B265" s="111"/>
      <c r="C265" s="162">
        <v>41548</v>
      </c>
      <c r="D265" s="162"/>
      <c r="E265" s="162"/>
      <c r="F265" s="162"/>
      <c r="G265" s="12" t="s">
        <v>55</v>
      </c>
      <c r="H265" s="162">
        <v>41821</v>
      </c>
      <c r="I265" s="162"/>
      <c r="J265" s="162"/>
      <c r="K265" s="177"/>
      <c r="L265" s="115" t="s">
        <v>56</v>
      </c>
      <c r="M265" s="116"/>
      <c r="N265" s="116"/>
      <c r="O265" s="116"/>
      <c r="P265" s="16" t="s">
        <v>126</v>
      </c>
      <c r="Q265" s="16"/>
      <c r="R265" s="16"/>
      <c r="S265" s="16"/>
      <c r="T265" s="16"/>
      <c r="U265" s="16"/>
      <c r="V265" s="16"/>
      <c r="W265" s="16"/>
      <c r="X265" s="16"/>
      <c r="Y265" s="16"/>
      <c r="Z265" s="16"/>
      <c r="AA265" s="16"/>
      <c r="AB265" s="16"/>
      <c r="AC265" s="16"/>
      <c r="AD265" s="16"/>
      <c r="AE265" s="16"/>
      <c r="AF265" s="16"/>
      <c r="AG265" s="16"/>
      <c r="AH265" s="16"/>
      <c r="AI265" s="16"/>
      <c r="AJ265" s="17"/>
      <c r="AK265" s="167" t="s">
        <v>55</v>
      </c>
      <c r="AL265" s="164"/>
      <c r="AM265" s="167" t="s">
        <v>28</v>
      </c>
      <c r="AN265" s="164"/>
      <c r="AO265" s="167" t="s">
        <v>28</v>
      </c>
      <c r="AP265" s="164"/>
      <c r="AQ265" s="167" t="s">
        <v>28</v>
      </c>
      <c r="AR265" s="164"/>
      <c r="AS265" s="167" t="s">
        <v>29</v>
      </c>
      <c r="AT265" s="164"/>
      <c r="AU265" s="167" t="s">
        <v>29</v>
      </c>
      <c r="AV265" s="164"/>
      <c r="AW265" s="167" t="s">
        <v>27</v>
      </c>
      <c r="AX265" s="164"/>
      <c r="AY265" s="167" t="s">
        <v>27</v>
      </c>
      <c r="AZ265" s="164"/>
      <c r="BA265" s="169" t="s">
        <v>27</v>
      </c>
      <c r="BB265" s="170"/>
    </row>
    <row r="266" spans="1:54" ht="21" customHeight="1">
      <c r="A266" s="112"/>
      <c r="B266" s="113"/>
      <c r="C266" s="173" t="str">
        <f t="shared" ref="C266" ca="1" si="18">IF(H265="現在",IF(DATEDIF(C265,TODAY(),"YM")+1=12,DATEDIF(C265,TODAY(),"Y")+1&amp;"年",DATEDIF(C265,TODAY(),"Y")&amp;"年"&amp;DATEDIF(C265,TODAY(),"YM")+1&amp;"ヶ月"),IF(DATEDIF(C265,H265,"YM")+1=12,DATEDIF(C265,H265,"Y")+1&amp;"年",DATEDIF(C265,H265,"Y")&amp;"年"&amp;DATEDIF(C265,H265,"YM")+1&amp;"ヶ月"))</f>
        <v>0年10ヶ月</v>
      </c>
      <c r="D266" s="173"/>
      <c r="E266" s="173"/>
      <c r="F266" s="173"/>
      <c r="G266" s="173"/>
      <c r="H266" s="173"/>
      <c r="I266" s="173"/>
      <c r="J266" s="173"/>
      <c r="K266" s="174"/>
      <c r="L266" s="115" t="s">
        <v>58</v>
      </c>
      <c r="M266" s="116"/>
      <c r="N266" s="116"/>
      <c r="O266" s="116"/>
      <c r="P266" s="131" t="s">
        <v>59</v>
      </c>
      <c r="Q266" s="131"/>
      <c r="R266" s="131"/>
      <c r="S266" s="131"/>
      <c r="T266" s="131"/>
      <c r="U266" s="131"/>
      <c r="V266" s="131"/>
      <c r="W266" s="131"/>
      <c r="X266" s="131"/>
      <c r="Y266" s="131"/>
      <c r="Z266" s="131"/>
      <c r="AA266" s="131"/>
      <c r="AB266" s="132"/>
      <c r="AC266" s="115" t="s">
        <v>60</v>
      </c>
      <c r="AD266" s="116"/>
      <c r="AE266" s="116"/>
      <c r="AF266" s="116"/>
      <c r="AG266" s="175" t="s">
        <v>67</v>
      </c>
      <c r="AH266" s="175"/>
      <c r="AI266" s="175"/>
      <c r="AJ266" s="176"/>
      <c r="AK266" s="168"/>
      <c r="AL266" s="166"/>
      <c r="AM266" s="168"/>
      <c r="AN266" s="166"/>
      <c r="AO266" s="168"/>
      <c r="AP266" s="166"/>
      <c r="AQ266" s="168"/>
      <c r="AR266" s="166"/>
      <c r="AS266" s="168"/>
      <c r="AT266" s="166"/>
      <c r="AU266" s="168"/>
      <c r="AV266" s="166"/>
      <c r="AW266" s="168"/>
      <c r="AX266" s="166"/>
      <c r="AY266" s="168"/>
      <c r="AZ266" s="166"/>
      <c r="BA266" s="171"/>
      <c r="BB266" s="172"/>
    </row>
    <row r="267" spans="1:54" ht="21" customHeight="1">
      <c r="A267" s="112"/>
      <c r="B267" s="113"/>
      <c r="C267" s="135" t="s">
        <v>62</v>
      </c>
      <c r="D267" s="135"/>
      <c r="E267" s="135"/>
      <c r="F267" s="135"/>
      <c r="G267" s="135"/>
      <c r="H267" s="135"/>
      <c r="I267" s="135"/>
      <c r="J267" s="135"/>
      <c r="K267" s="135"/>
      <c r="L267" s="136" t="s">
        <v>63</v>
      </c>
      <c r="M267" s="137"/>
      <c r="N267" s="137"/>
      <c r="O267" s="137"/>
      <c r="P267" s="86" t="s">
        <v>127</v>
      </c>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c r="AQ267" s="86"/>
      <c r="AR267" s="86"/>
      <c r="AS267" s="86"/>
      <c r="AT267" s="86"/>
      <c r="AU267" s="86"/>
      <c r="AV267" s="86"/>
      <c r="AW267" s="86"/>
      <c r="AX267" s="86"/>
      <c r="AY267" s="86"/>
      <c r="AZ267" s="86"/>
      <c r="BA267" s="86"/>
      <c r="BB267" s="87"/>
    </row>
    <row r="268" spans="1:54" ht="28.5" customHeight="1">
      <c r="A268" s="112"/>
      <c r="B268" s="113"/>
      <c r="C268" s="88" t="s">
        <v>128</v>
      </c>
      <c r="D268" s="88"/>
      <c r="E268" s="88"/>
      <c r="F268" s="88"/>
      <c r="G268" s="88"/>
      <c r="H268" s="88"/>
      <c r="I268" s="88"/>
      <c r="J268" s="88"/>
      <c r="K268" s="89"/>
      <c r="L268" s="138"/>
      <c r="M268" s="139"/>
      <c r="N268" s="139"/>
      <c r="O268" s="139"/>
      <c r="P268" s="88"/>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88"/>
      <c r="AN268" s="88"/>
      <c r="AO268" s="88"/>
      <c r="AP268" s="88"/>
      <c r="AQ268" s="88"/>
      <c r="AR268" s="88"/>
      <c r="AS268" s="88"/>
      <c r="AT268" s="88"/>
      <c r="AU268" s="88"/>
      <c r="AV268" s="88"/>
      <c r="AW268" s="88"/>
      <c r="AX268" s="88"/>
      <c r="AY268" s="88"/>
      <c r="AZ268" s="88"/>
      <c r="BA268" s="88"/>
      <c r="BB268" s="89"/>
    </row>
    <row r="269" spans="1:54" ht="28.5" customHeight="1">
      <c r="A269" s="112"/>
      <c r="B269" s="113"/>
      <c r="C269" s="88"/>
      <c r="D269" s="88"/>
      <c r="E269" s="88"/>
      <c r="F269" s="88"/>
      <c r="G269" s="88"/>
      <c r="H269" s="88"/>
      <c r="I269" s="88"/>
      <c r="J269" s="88"/>
      <c r="K269" s="89"/>
      <c r="L269" s="138"/>
      <c r="M269" s="139"/>
      <c r="N269" s="139"/>
      <c r="O269" s="139"/>
      <c r="P269" s="88"/>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88"/>
      <c r="AN269" s="88"/>
      <c r="AO269" s="88"/>
      <c r="AP269" s="88"/>
      <c r="AQ269" s="88"/>
      <c r="AR269" s="88"/>
      <c r="AS269" s="88"/>
      <c r="AT269" s="88"/>
      <c r="AU269" s="88"/>
      <c r="AV269" s="88"/>
      <c r="AW269" s="88"/>
      <c r="AX269" s="88"/>
      <c r="AY269" s="88"/>
      <c r="AZ269" s="88"/>
      <c r="BA269" s="88"/>
      <c r="BB269" s="89"/>
    </row>
    <row r="270" spans="1:54" ht="28.5" customHeight="1">
      <c r="A270" s="112"/>
      <c r="B270" s="113"/>
      <c r="C270" s="88"/>
      <c r="D270" s="88"/>
      <c r="E270" s="88"/>
      <c r="F270" s="88"/>
      <c r="G270" s="88"/>
      <c r="H270" s="88"/>
      <c r="I270" s="88"/>
      <c r="J270" s="88"/>
      <c r="K270" s="89"/>
      <c r="L270" s="138"/>
      <c r="M270" s="139"/>
      <c r="N270" s="139"/>
      <c r="O270" s="139"/>
      <c r="P270" s="88"/>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88"/>
      <c r="AN270" s="88"/>
      <c r="AO270" s="88"/>
      <c r="AP270" s="88"/>
      <c r="AQ270" s="88"/>
      <c r="AR270" s="88"/>
      <c r="AS270" s="88"/>
      <c r="AT270" s="88"/>
      <c r="AU270" s="88"/>
      <c r="AV270" s="88"/>
      <c r="AW270" s="88"/>
      <c r="AX270" s="88"/>
      <c r="AY270" s="88"/>
      <c r="AZ270" s="88"/>
      <c r="BA270" s="88"/>
      <c r="BB270" s="89"/>
    </row>
    <row r="271" spans="1:54" ht="28.5" customHeight="1">
      <c r="A271" s="112"/>
      <c r="B271" s="113"/>
      <c r="C271" s="88"/>
      <c r="D271" s="88"/>
      <c r="E271" s="88"/>
      <c r="F271" s="88"/>
      <c r="G271" s="88"/>
      <c r="H271" s="88"/>
      <c r="I271" s="88"/>
      <c r="J271" s="88"/>
      <c r="K271" s="89"/>
      <c r="L271" s="138"/>
      <c r="M271" s="139"/>
      <c r="N271" s="139"/>
      <c r="O271" s="139"/>
      <c r="P271" s="88"/>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88"/>
      <c r="AN271" s="88"/>
      <c r="AO271" s="88"/>
      <c r="AP271" s="88"/>
      <c r="AQ271" s="88"/>
      <c r="AR271" s="88"/>
      <c r="AS271" s="88"/>
      <c r="AT271" s="88"/>
      <c r="AU271" s="88"/>
      <c r="AV271" s="88"/>
      <c r="AW271" s="88"/>
      <c r="AX271" s="88"/>
      <c r="AY271" s="88"/>
      <c r="AZ271" s="88"/>
      <c r="BA271" s="88"/>
      <c r="BB271" s="89"/>
    </row>
    <row r="272" spans="1:54" ht="28.5" customHeight="1">
      <c r="A272" s="112"/>
      <c r="B272" s="113"/>
      <c r="C272" s="88"/>
      <c r="D272" s="88"/>
      <c r="E272" s="88"/>
      <c r="F272" s="88"/>
      <c r="G272" s="88"/>
      <c r="H272" s="88"/>
      <c r="I272" s="88"/>
      <c r="J272" s="88"/>
      <c r="K272" s="89"/>
      <c r="L272" s="138"/>
      <c r="M272" s="139"/>
      <c r="N272" s="139"/>
      <c r="O272" s="139"/>
      <c r="P272" s="88"/>
      <c r="Q272" s="88"/>
      <c r="R272" s="88"/>
      <c r="S272" s="88"/>
      <c r="T272" s="88"/>
      <c r="U272" s="88"/>
      <c r="V272" s="88"/>
      <c r="W272" s="88"/>
      <c r="X272" s="88"/>
      <c r="Y272" s="88"/>
      <c r="Z272" s="88"/>
      <c r="AA272" s="88"/>
      <c r="AB272" s="88"/>
      <c r="AC272" s="88"/>
      <c r="AD272" s="88"/>
      <c r="AE272" s="88"/>
      <c r="AF272" s="88"/>
      <c r="AG272" s="88"/>
      <c r="AH272" s="88"/>
      <c r="AI272" s="88"/>
      <c r="AJ272" s="88"/>
      <c r="AK272" s="88"/>
      <c r="AL272" s="88"/>
      <c r="AM272" s="88"/>
      <c r="AN272" s="88"/>
      <c r="AO272" s="88"/>
      <c r="AP272" s="88"/>
      <c r="AQ272" s="88"/>
      <c r="AR272" s="88"/>
      <c r="AS272" s="88"/>
      <c r="AT272" s="88"/>
      <c r="AU272" s="88"/>
      <c r="AV272" s="88"/>
      <c r="AW272" s="88"/>
      <c r="AX272" s="88"/>
      <c r="AY272" s="88"/>
      <c r="AZ272" s="88"/>
      <c r="BA272" s="88"/>
      <c r="BB272" s="89"/>
    </row>
    <row r="273" spans="1:54" ht="28.5" customHeight="1">
      <c r="A273" s="112"/>
      <c r="B273" s="113"/>
      <c r="C273" s="88"/>
      <c r="D273" s="88"/>
      <c r="E273" s="88"/>
      <c r="F273" s="88"/>
      <c r="G273" s="88"/>
      <c r="H273" s="88"/>
      <c r="I273" s="88"/>
      <c r="J273" s="88"/>
      <c r="K273" s="89"/>
      <c r="L273" s="138"/>
      <c r="M273" s="139"/>
      <c r="N273" s="139"/>
      <c r="O273" s="139"/>
      <c r="P273" s="88"/>
      <c r="Q273" s="88"/>
      <c r="R273" s="88"/>
      <c r="S273" s="88"/>
      <c r="T273" s="88"/>
      <c r="U273" s="88"/>
      <c r="V273" s="88"/>
      <c r="W273" s="88"/>
      <c r="X273" s="88"/>
      <c r="Y273" s="88"/>
      <c r="Z273" s="88"/>
      <c r="AA273" s="88"/>
      <c r="AB273" s="88"/>
      <c r="AC273" s="88"/>
      <c r="AD273" s="88"/>
      <c r="AE273" s="88"/>
      <c r="AF273" s="88"/>
      <c r="AG273" s="88"/>
      <c r="AH273" s="88"/>
      <c r="AI273" s="88"/>
      <c r="AJ273" s="88"/>
      <c r="AK273" s="88"/>
      <c r="AL273" s="88"/>
      <c r="AM273" s="88"/>
      <c r="AN273" s="88"/>
      <c r="AO273" s="88"/>
      <c r="AP273" s="88"/>
      <c r="AQ273" s="88"/>
      <c r="AR273" s="88"/>
      <c r="AS273" s="88"/>
      <c r="AT273" s="88"/>
      <c r="AU273" s="88"/>
      <c r="AV273" s="88"/>
      <c r="AW273" s="88"/>
      <c r="AX273" s="88"/>
      <c r="AY273" s="88"/>
      <c r="AZ273" s="88"/>
      <c r="BA273" s="88"/>
      <c r="BB273" s="89"/>
    </row>
    <row r="274" spans="1:54" ht="28.5" customHeight="1">
      <c r="A274" s="112"/>
      <c r="B274" s="113"/>
      <c r="C274" s="88"/>
      <c r="D274" s="88"/>
      <c r="E274" s="88"/>
      <c r="F274" s="88"/>
      <c r="G274" s="88"/>
      <c r="H274" s="88"/>
      <c r="I274" s="88"/>
      <c r="J274" s="88"/>
      <c r="K274" s="89"/>
      <c r="L274" s="138"/>
      <c r="M274" s="139"/>
      <c r="N274" s="139"/>
      <c r="O274" s="139"/>
      <c r="P274" s="88"/>
      <c r="Q274" s="88"/>
      <c r="R274" s="88"/>
      <c r="S274" s="88"/>
      <c r="T274" s="88"/>
      <c r="U274" s="88"/>
      <c r="V274" s="88"/>
      <c r="W274" s="88"/>
      <c r="X274" s="88"/>
      <c r="Y274" s="88"/>
      <c r="Z274" s="88"/>
      <c r="AA274" s="88"/>
      <c r="AB274" s="88"/>
      <c r="AC274" s="88"/>
      <c r="AD274" s="88"/>
      <c r="AE274" s="88"/>
      <c r="AF274" s="88"/>
      <c r="AG274" s="88"/>
      <c r="AH274" s="88"/>
      <c r="AI274" s="88"/>
      <c r="AJ274" s="88"/>
      <c r="AK274" s="88"/>
      <c r="AL274" s="88"/>
      <c r="AM274" s="88"/>
      <c r="AN274" s="88"/>
      <c r="AO274" s="88"/>
      <c r="AP274" s="88"/>
      <c r="AQ274" s="88"/>
      <c r="AR274" s="88"/>
      <c r="AS274" s="88"/>
      <c r="AT274" s="88"/>
      <c r="AU274" s="88"/>
      <c r="AV274" s="88"/>
      <c r="AW274" s="88"/>
      <c r="AX274" s="88"/>
      <c r="AY274" s="88"/>
      <c r="AZ274" s="88"/>
      <c r="BA274" s="88"/>
      <c r="BB274" s="89"/>
    </row>
    <row r="275" spans="1:54" ht="28.5" customHeight="1">
      <c r="A275" s="112"/>
      <c r="B275" s="113"/>
      <c r="C275" s="88"/>
      <c r="D275" s="88"/>
      <c r="E275" s="88"/>
      <c r="F275" s="88"/>
      <c r="G275" s="88"/>
      <c r="H275" s="88"/>
      <c r="I275" s="88"/>
      <c r="J275" s="88"/>
      <c r="K275" s="89"/>
      <c r="L275" s="138"/>
      <c r="M275" s="139"/>
      <c r="N275" s="139"/>
      <c r="O275" s="139"/>
      <c r="P275" s="88"/>
      <c r="Q275" s="88"/>
      <c r="R275" s="88"/>
      <c r="S275" s="88"/>
      <c r="T275" s="88"/>
      <c r="U275" s="88"/>
      <c r="V275" s="88"/>
      <c r="W275" s="88"/>
      <c r="X275" s="88"/>
      <c r="Y275" s="88"/>
      <c r="Z275" s="88"/>
      <c r="AA275" s="88"/>
      <c r="AB275" s="88"/>
      <c r="AC275" s="88"/>
      <c r="AD275" s="88"/>
      <c r="AE275" s="88"/>
      <c r="AF275" s="88"/>
      <c r="AG275" s="88"/>
      <c r="AH275" s="88"/>
      <c r="AI275" s="88"/>
      <c r="AJ275" s="88"/>
      <c r="AK275" s="88"/>
      <c r="AL275" s="88"/>
      <c r="AM275" s="88"/>
      <c r="AN275" s="88"/>
      <c r="AO275" s="88"/>
      <c r="AP275" s="88"/>
      <c r="AQ275" s="88"/>
      <c r="AR275" s="88"/>
      <c r="AS275" s="88"/>
      <c r="AT275" s="88"/>
      <c r="AU275" s="88"/>
      <c r="AV275" s="88"/>
      <c r="AW275" s="88"/>
      <c r="AX275" s="88"/>
      <c r="AY275" s="88"/>
      <c r="AZ275" s="88"/>
      <c r="BA275" s="88"/>
      <c r="BB275" s="89"/>
    </row>
    <row r="276" spans="1:54" ht="39.950000000000003" customHeight="1">
      <c r="A276" s="104" t="s">
        <v>52</v>
      </c>
      <c r="B276" s="105"/>
      <c r="C276" s="104" t="s">
        <v>53</v>
      </c>
      <c r="D276" s="106"/>
      <c r="E276" s="106"/>
      <c r="F276" s="106"/>
      <c r="G276" s="106"/>
      <c r="H276" s="106"/>
      <c r="I276" s="106"/>
      <c r="J276" s="106"/>
      <c r="K276" s="105"/>
      <c r="L276" s="104"/>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5"/>
      <c r="AK276" s="107" t="s">
        <v>15</v>
      </c>
      <c r="AL276" s="108"/>
      <c r="AM276" s="108" t="s">
        <v>16</v>
      </c>
      <c r="AN276" s="108"/>
      <c r="AO276" s="108" t="s">
        <v>17</v>
      </c>
      <c r="AP276" s="108"/>
      <c r="AQ276" s="108" t="s">
        <v>18</v>
      </c>
      <c r="AR276" s="108"/>
      <c r="AS276" s="108" t="s">
        <v>19</v>
      </c>
      <c r="AT276" s="108"/>
      <c r="AU276" s="108" t="s">
        <v>20</v>
      </c>
      <c r="AV276" s="108"/>
      <c r="AW276" s="108" t="s">
        <v>21</v>
      </c>
      <c r="AX276" s="108"/>
      <c r="AY276" s="108" t="s">
        <v>22</v>
      </c>
      <c r="AZ276" s="108"/>
      <c r="BA276" s="108" t="s">
        <v>23</v>
      </c>
      <c r="BB276" s="109"/>
    </row>
    <row r="277" spans="1:54" ht="20.100000000000001" customHeight="1">
      <c r="A277" s="110">
        <v>20</v>
      </c>
      <c r="B277" s="111"/>
      <c r="C277" s="162">
        <v>41426</v>
      </c>
      <c r="D277" s="162"/>
      <c r="E277" s="162"/>
      <c r="F277" s="162"/>
      <c r="G277" s="12" t="s">
        <v>55</v>
      </c>
      <c r="H277" s="162">
        <v>41518</v>
      </c>
      <c r="I277" s="162"/>
      <c r="J277" s="162"/>
      <c r="K277" s="177"/>
      <c r="L277" s="115" t="s">
        <v>56</v>
      </c>
      <c r="M277" s="116"/>
      <c r="N277" s="116"/>
      <c r="O277" s="116"/>
      <c r="P277" s="16" t="s">
        <v>129</v>
      </c>
      <c r="Q277" s="16"/>
      <c r="R277" s="16"/>
      <c r="S277" s="16"/>
      <c r="T277" s="16"/>
      <c r="U277" s="16"/>
      <c r="V277" s="16"/>
      <c r="W277" s="16"/>
      <c r="X277" s="16"/>
      <c r="Y277" s="16"/>
      <c r="Z277" s="16"/>
      <c r="AA277" s="16"/>
      <c r="AB277" s="16"/>
      <c r="AC277" s="16"/>
      <c r="AD277" s="16"/>
      <c r="AE277" s="16"/>
      <c r="AF277" s="16"/>
      <c r="AG277" s="16"/>
      <c r="AH277" s="16"/>
      <c r="AI277" s="16"/>
      <c r="AJ277" s="17"/>
      <c r="AK277" s="163" t="s">
        <v>27</v>
      </c>
      <c r="AL277" s="164"/>
      <c r="AM277" s="167" t="s">
        <v>28</v>
      </c>
      <c r="AN277" s="164"/>
      <c r="AO277" s="167" t="s">
        <v>29</v>
      </c>
      <c r="AP277" s="164"/>
      <c r="AQ277" s="167" t="s">
        <v>29</v>
      </c>
      <c r="AR277" s="164"/>
      <c r="AS277" s="167" t="s">
        <v>29</v>
      </c>
      <c r="AT277" s="164"/>
      <c r="AU277" s="167" t="s">
        <v>29</v>
      </c>
      <c r="AV277" s="164"/>
      <c r="AW277" s="167" t="s">
        <v>29</v>
      </c>
      <c r="AX277" s="164"/>
      <c r="AY277" s="167" t="s">
        <v>27</v>
      </c>
      <c r="AZ277" s="164"/>
      <c r="BA277" s="169" t="s">
        <v>27</v>
      </c>
      <c r="BB277" s="170"/>
    </row>
    <row r="278" spans="1:54" ht="20.100000000000001" customHeight="1">
      <c r="A278" s="112"/>
      <c r="B278" s="113"/>
      <c r="C278" s="173" t="str">
        <f ca="1">IF(H277="現在",IF(DATEDIF(C277,TODAY(),"YM")+1=12,DATEDIF(C277,TODAY(),"Y")+1&amp;"年",DATEDIF(C277,TODAY(),"Y")&amp;"年"&amp;DATEDIF(C277,TODAY(),"YM")+1&amp;"ヶ月"),IF(DATEDIF(C277,H277,"YM")+1=12,DATEDIF(C277,H277,"Y")+1&amp;"年",DATEDIF(C277,H277,"Y")&amp;"年"&amp;DATEDIF(C277,H277,"YM")+1&amp;"ヶ月"))</f>
        <v>0年4ヶ月</v>
      </c>
      <c r="D278" s="173"/>
      <c r="E278" s="173"/>
      <c r="F278" s="173"/>
      <c r="G278" s="173"/>
      <c r="H278" s="173"/>
      <c r="I278" s="173"/>
      <c r="J278" s="173"/>
      <c r="K278" s="174"/>
      <c r="L278" s="115" t="s">
        <v>58</v>
      </c>
      <c r="M278" s="116"/>
      <c r="N278" s="116"/>
      <c r="O278" s="116"/>
      <c r="P278" s="131" t="s">
        <v>59</v>
      </c>
      <c r="Q278" s="131"/>
      <c r="R278" s="131"/>
      <c r="S278" s="131"/>
      <c r="T278" s="131"/>
      <c r="U278" s="131"/>
      <c r="V278" s="131"/>
      <c r="W278" s="131"/>
      <c r="X278" s="131"/>
      <c r="Y278" s="131"/>
      <c r="Z278" s="131"/>
      <c r="AA278" s="131"/>
      <c r="AB278" s="132"/>
      <c r="AC278" s="115" t="s">
        <v>60</v>
      </c>
      <c r="AD278" s="116"/>
      <c r="AE278" s="116"/>
      <c r="AF278" s="116"/>
      <c r="AG278" s="175" t="s">
        <v>83</v>
      </c>
      <c r="AH278" s="175"/>
      <c r="AI278" s="175"/>
      <c r="AJ278" s="176"/>
      <c r="AK278" s="165"/>
      <c r="AL278" s="166"/>
      <c r="AM278" s="168"/>
      <c r="AN278" s="166"/>
      <c r="AO278" s="168"/>
      <c r="AP278" s="166"/>
      <c r="AQ278" s="168"/>
      <c r="AR278" s="166"/>
      <c r="AS278" s="168"/>
      <c r="AT278" s="166"/>
      <c r="AU278" s="168"/>
      <c r="AV278" s="166"/>
      <c r="AW278" s="168"/>
      <c r="AX278" s="166"/>
      <c r="AY278" s="168"/>
      <c r="AZ278" s="166"/>
      <c r="BA278" s="171"/>
      <c r="BB278" s="172"/>
    </row>
    <row r="279" spans="1:54" ht="20.100000000000001" customHeight="1">
      <c r="A279" s="112"/>
      <c r="B279" s="113"/>
      <c r="C279" s="135" t="s">
        <v>62</v>
      </c>
      <c r="D279" s="135"/>
      <c r="E279" s="135"/>
      <c r="F279" s="135"/>
      <c r="G279" s="135"/>
      <c r="H279" s="135"/>
      <c r="I279" s="135"/>
      <c r="J279" s="135"/>
      <c r="K279" s="135"/>
      <c r="L279" s="136" t="s">
        <v>63</v>
      </c>
      <c r="M279" s="137"/>
      <c r="N279" s="137"/>
      <c r="O279" s="137"/>
      <c r="P279" s="86" t="s">
        <v>130</v>
      </c>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7"/>
    </row>
    <row r="280" spans="1:54" ht="30" customHeight="1">
      <c r="A280" s="112"/>
      <c r="B280" s="113"/>
      <c r="C280" s="88" t="s">
        <v>131</v>
      </c>
      <c r="D280" s="88"/>
      <c r="E280" s="88"/>
      <c r="F280" s="88"/>
      <c r="G280" s="88"/>
      <c r="H280" s="88"/>
      <c r="I280" s="88"/>
      <c r="J280" s="88"/>
      <c r="K280" s="89"/>
      <c r="L280" s="138"/>
      <c r="M280" s="139"/>
      <c r="N280" s="139"/>
      <c r="O280" s="139"/>
      <c r="P280" s="88"/>
      <c r="Q280" s="88"/>
      <c r="R280" s="88"/>
      <c r="S280" s="88"/>
      <c r="T280" s="88"/>
      <c r="U280" s="88"/>
      <c r="V280" s="88"/>
      <c r="W280" s="88"/>
      <c r="X280" s="88"/>
      <c r="Y280" s="88"/>
      <c r="Z280" s="88"/>
      <c r="AA280" s="88"/>
      <c r="AB280" s="88"/>
      <c r="AC280" s="88"/>
      <c r="AD280" s="88"/>
      <c r="AE280" s="88"/>
      <c r="AF280" s="88"/>
      <c r="AG280" s="88"/>
      <c r="AH280" s="88"/>
      <c r="AI280" s="88"/>
      <c r="AJ280" s="88"/>
      <c r="AK280" s="88"/>
      <c r="AL280" s="88"/>
      <c r="AM280" s="88"/>
      <c r="AN280" s="88"/>
      <c r="AO280" s="88"/>
      <c r="AP280" s="88"/>
      <c r="AQ280" s="88"/>
      <c r="AR280" s="88"/>
      <c r="AS280" s="88"/>
      <c r="AT280" s="88"/>
      <c r="AU280" s="88"/>
      <c r="AV280" s="88"/>
      <c r="AW280" s="88"/>
      <c r="AX280" s="88"/>
      <c r="AY280" s="88"/>
      <c r="AZ280" s="88"/>
      <c r="BA280" s="88"/>
      <c r="BB280" s="89"/>
    </row>
    <row r="281" spans="1:54" ht="30" customHeight="1">
      <c r="A281" s="112"/>
      <c r="B281" s="113"/>
      <c r="C281" s="88"/>
      <c r="D281" s="88"/>
      <c r="E281" s="88"/>
      <c r="F281" s="88"/>
      <c r="G281" s="88"/>
      <c r="H281" s="88"/>
      <c r="I281" s="88"/>
      <c r="J281" s="88"/>
      <c r="K281" s="89"/>
      <c r="L281" s="138"/>
      <c r="M281" s="139"/>
      <c r="N281" s="139"/>
      <c r="O281" s="139"/>
      <c r="P281" s="88"/>
      <c r="Q281" s="88"/>
      <c r="R281" s="88"/>
      <c r="S281" s="88"/>
      <c r="T281" s="88"/>
      <c r="U281" s="88"/>
      <c r="V281" s="88"/>
      <c r="W281" s="88"/>
      <c r="X281" s="88"/>
      <c r="Y281" s="88"/>
      <c r="Z281" s="88"/>
      <c r="AA281" s="88"/>
      <c r="AB281" s="88"/>
      <c r="AC281" s="88"/>
      <c r="AD281" s="88"/>
      <c r="AE281" s="88"/>
      <c r="AF281" s="88"/>
      <c r="AG281" s="88"/>
      <c r="AH281" s="88"/>
      <c r="AI281" s="88"/>
      <c r="AJ281" s="88"/>
      <c r="AK281" s="88"/>
      <c r="AL281" s="88"/>
      <c r="AM281" s="88"/>
      <c r="AN281" s="88"/>
      <c r="AO281" s="88"/>
      <c r="AP281" s="88"/>
      <c r="AQ281" s="88"/>
      <c r="AR281" s="88"/>
      <c r="AS281" s="88"/>
      <c r="AT281" s="88"/>
      <c r="AU281" s="88"/>
      <c r="AV281" s="88"/>
      <c r="AW281" s="88"/>
      <c r="AX281" s="88"/>
      <c r="AY281" s="88"/>
      <c r="AZ281" s="88"/>
      <c r="BA281" s="88"/>
      <c r="BB281" s="89"/>
    </row>
    <row r="282" spans="1:54" ht="30" customHeight="1">
      <c r="A282" s="112"/>
      <c r="B282" s="113"/>
      <c r="C282" s="88"/>
      <c r="D282" s="88"/>
      <c r="E282" s="88"/>
      <c r="F282" s="88"/>
      <c r="G282" s="88"/>
      <c r="H282" s="88"/>
      <c r="I282" s="88"/>
      <c r="J282" s="88"/>
      <c r="K282" s="89"/>
      <c r="L282" s="138"/>
      <c r="M282" s="139"/>
      <c r="N282" s="139"/>
      <c r="O282" s="139"/>
      <c r="P282" s="88"/>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88"/>
      <c r="AN282" s="88"/>
      <c r="AO282" s="88"/>
      <c r="AP282" s="88"/>
      <c r="AQ282" s="88"/>
      <c r="AR282" s="88"/>
      <c r="AS282" s="88"/>
      <c r="AT282" s="88"/>
      <c r="AU282" s="88"/>
      <c r="AV282" s="88"/>
      <c r="AW282" s="88"/>
      <c r="AX282" s="88"/>
      <c r="AY282" s="88"/>
      <c r="AZ282" s="88"/>
      <c r="BA282" s="88"/>
      <c r="BB282" s="89"/>
    </row>
    <row r="283" spans="1:54" ht="30" customHeight="1">
      <c r="A283" s="112"/>
      <c r="B283" s="113"/>
      <c r="C283" s="88"/>
      <c r="D283" s="88"/>
      <c r="E283" s="88"/>
      <c r="F283" s="88"/>
      <c r="G283" s="88"/>
      <c r="H283" s="88"/>
      <c r="I283" s="88"/>
      <c r="J283" s="88"/>
      <c r="K283" s="89"/>
      <c r="L283" s="138"/>
      <c r="M283" s="139"/>
      <c r="N283" s="139"/>
      <c r="O283" s="139"/>
      <c r="P283" s="88"/>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88"/>
      <c r="AN283" s="88"/>
      <c r="AO283" s="88"/>
      <c r="AP283" s="88"/>
      <c r="AQ283" s="88"/>
      <c r="AR283" s="88"/>
      <c r="AS283" s="88"/>
      <c r="AT283" s="88"/>
      <c r="AU283" s="88"/>
      <c r="AV283" s="88"/>
      <c r="AW283" s="88"/>
      <c r="AX283" s="88"/>
      <c r="AY283" s="88"/>
      <c r="AZ283" s="88"/>
      <c r="BA283" s="88"/>
      <c r="BB283" s="89"/>
    </row>
    <row r="284" spans="1:54" ht="30" customHeight="1">
      <c r="A284" s="112"/>
      <c r="B284" s="113"/>
      <c r="C284" s="88"/>
      <c r="D284" s="88"/>
      <c r="E284" s="88"/>
      <c r="F284" s="88"/>
      <c r="G284" s="88"/>
      <c r="H284" s="88"/>
      <c r="I284" s="88"/>
      <c r="J284" s="88"/>
      <c r="K284" s="89"/>
      <c r="L284" s="138"/>
      <c r="M284" s="139"/>
      <c r="N284" s="139"/>
      <c r="O284" s="139"/>
      <c r="P284" s="88"/>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88"/>
      <c r="AN284" s="88"/>
      <c r="AO284" s="88"/>
      <c r="AP284" s="88"/>
      <c r="AQ284" s="88"/>
      <c r="AR284" s="88"/>
      <c r="AS284" s="88"/>
      <c r="AT284" s="88"/>
      <c r="AU284" s="88"/>
      <c r="AV284" s="88"/>
      <c r="AW284" s="88"/>
      <c r="AX284" s="88"/>
      <c r="AY284" s="88"/>
      <c r="AZ284" s="88"/>
      <c r="BA284" s="88"/>
      <c r="BB284" s="89"/>
    </row>
    <row r="285" spans="1:54" ht="30" customHeight="1">
      <c r="A285" s="112"/>
      <c r="B285" s="113"/>
      <c r="C285" s="88"/>
      <c r="D285" s="88"/>
      <c r="E285" s="88"/>
      <c r="F285" s="88"/>
      <c r="G285" s="88"/>
      <c r="H285" s="88"/>
      <c r="I285" s="88"/>
      <c r="J285" s="88"/>
      <c r="K285" s="89"/>
      <c r="L285" s="138"/>
      <c r="M285" s="139"/>
      <c r="N285" s="139"/>
      <c r="O285" s="139"/>
      <c r="P285" s="88"/>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88"/>
      <c r="AN285" s="88"/>
      <c r="AO285" s="88"/>
      <c r="AP285" s="88"/>
      <c r="AQ285" s="88"/>
      <c r="AR285" s="88"/>
      <c r="AS285" s="88"/>
      <c r="AT285" s="88"/>
      <c r="AU285" s="88"/>
      <c r="AV285" s="88"/>
      <c r="AW285" s="88"/>
      <c r="AX285" s="88"/>
      <c r="AY285" s="88"/>
      <c r="AZ285" s="88"/>
      <c r="BA285" s="88"/>
      <c r="BB285" s="89"/>
    </row>
    <row r="286" spans="1:54" ht="30" customHeight="1">
      <c r="A286" s="112"/>
      <c r="B286" s="113"/>
      <c r="C286" s="88"/>
      <c r="D286" s="88"/>
      <c r="E286" s="88"/>
      <c r="F286" s="88"/>
      <c r="G286" s="88"/>
      <c r="H286" s="88"/>
      <c r="I286" s="88"/>
      <c r="J286" s="88"/>
      <c r="K286" s="89"/>
      <c r="L286" s="138"/>
      <c r="M286" s="139"/>
      <c r="N286" s="139"/>
      <c r="O286" s="139"/>
      <c r="P286" s="88"/>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88"/>
      <c r="AN286" s="88"/>
      <c r="AO286" s="88"/>
      <c r="AP286" s="88"/>
      <c r="AQ286" s="88"/>
      <c r="AR286" s="88"/>
      <c r="AS286" s="88"/>
      <c r="AT286" s="88"/>
      <c r="AU286" s="88"/>
      <c r="AV286" s="88"/>
      <c r="AW286" s="88"/>
      <c r="AX286" s="88"/>
      <c r="AY286" s="88"/>
      <c r="AZ286" s="88"/>
      <c r="BA286" s="88"/>
      <c r="BB286" s="89"/>
    </row>
    <row r="287" spans="1:54" ht="30" customHeight="1">
      <c r="A287" s="112"/>
      <c r="B287" s="113"/>
      <c r="C287" s="88"/>
      <c r="D287" s="88"/>
      <c r="E287" s="88"/>
      <c r="F287" s="88"/>
      <c r="G287" s="88"/>
      <c r="H287" s="88"/>
      <c r="I287" s="88"/>
      <c r="J287" s="88"/>
      <c r="K287" s="89"/>
      <c r="L287" s="138"/>
      <c r="M287" s="139"/>
      <c r="N287" s="139"/>
      <c r="O287" s="139"/>
      <c r="P287" s="88"/>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88"/>
      <c r="AN287" s="88"/>
      <c r="AO287" s="88"/>
      <c r="AP287" s="88"/>
      <c r="AQ287" s="88"/>
      <c r="AR287" s="88"/>
      <c r="AS287" s="88"/>
      <c r="AT287" s="88"/>
      <c r="AU287" s="88"/>
      <c r="AV287" s="88"/>
      <c r="AW287" s="88"/>
      <c r="AX287" s="88"/>
      <c r="AY287" s="88"/>
      <c r="AZ287" s="88"/>
      <c r="BA287" s="88"/>
      <c r="BB287" s="89"/>
    </row>
    <row r="288" spans="1:54" ht="42" customHeight="1">
      <c r="A288" s="104" t="s">
        <v>52</v>
      </c>
      <c r="B288" s="105"/>
      <c r="C288" s="104" t="s">
        <v>53</v>
      </c>
      <c r="D288" s="106"/>
      <c r="E288" s="106"/>
      <c r="F288" s="106"/>
      <c r="G288" s="106"/>
      <c r="H288" s="106"/>
      <c r="I288" s="106"/>
      <c r="J288" s="106"/>
      <c r="K288" s="105"/>
      <c r="L288" s="104" t="s">
        <v>54</v>
      </c>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5"/>
      <c r="AK288" s="107" t="s">
        <v>15</v>
      </c>
      <c r="AL288" s="108"/>
      <c r="AM288" s="108" t="s">
        <v>16</v>
      </c>
      <c r="AN288" s="108"/>
      <c r="AO288" s="108" t="s">
        <v>17</v>
      </c>
      <c r="AP288" s="108"/>
      <c r="AQ288" s="108" t="s">
        <v>18</v>
      </c>
      <c r="AR288" s="108"/>
      <c r="AS288" s="108" t="s">
        <v>19</v>
      </c>
      <c r="AT288" s="108"/>
      <c r="AU288" s="108" t="s">
        <v>20</v>
      </c>
      <c r="AV288" s="108"/>
      <c r="AW288" s="108" t="s">
        <v>21</v>
      </c>
      <c r="AX288" s="108"/>
      <c r="AY288" s="108" t="s">
        <v>22</v>
      </c>
      <c r="AZ288" s="108"/>
      <c r="BA288" s="108" t="s">
        <v>23</v>
      </c>
      <c r="BB288" s="109"/>
    </row>
    <row r="289" spans="1:54" ht="21" customHeight="1">
      <c r="A289" s="110">
        <v>21</v>
      </c>
      <c r="B289" s="111"/>
      <c r="C289" s="162">
        <v>38808</v>
      </c>
      <c r="D289" s="162"/>
      <c r="E289" s="162"/>
      <c r="F289" s="162"/>
      <c r="G289" s="12" t="s">
        <v>55</v>
      </c>
      <c r="H289" s="162">
        <v>41395</v>
      </c>
      <c r="I289" s="162"/>
      <c r="J289" s="162"/>
      <c r="K289" s="177"/>
      <c r="L289" s="115" t="s">
        <v>56</v>
      </c>
      <c r="M289" s="116"/>
      <c r="N289" s="116"/>
      <c r="O289" s="116"/>
      <c r="P289" s="16" t="s">
        <v>132</v>
      </c>
      <c r="Q289" s="16"/>
      <c r="R289" s="16"/>
      <c r="S289" s="16"/>
      <c r="T289" s="16"/>
      <c r="U289" s="16"/>
      <c r="V289" s="16"/>
      <c r="W289" s="16"/>
      <c r="X289" s="16"/>
      <c r="Y289" s="16"/>
      <c r="Z289" s="16"/>
      <c r="AA289" s="16"/>
      <c r="AB289" s="16"/>
      <c r="AC289" s="16"/>
      <c r="AD289" s="16"/>
      <c r="AE289" s="16"/>
      <c r="AF289" s="16"/>
      <c r="AG289" s="16"/>
      <c r="AH289" s="16"/>
      <c r="AI289" s="16"/>
      <c r="AJ289" s="17"/>
      <c r="AK289" s="179" t="s">
        <v>27</v>
      </c>
      <c r="AL289" s="180"/>
      <c r="AM289" s="181" t="s">
        <v>117</v>
      </c>
      <c r="AN289" s="180"/>
      <c r="AO289" s="181" t="s">
        <v>28</v>
      </c>
      <c r="AP289" s="180"/>
      <c r="AQ289" s="181" t="s">
        <v>28</v>
      </c>
      <c r="AR289" s="180"/>
      <c r="AS289" s="181" t="s">
        <v>29</v>
      </c>
      <c r="AT289" s="180"/>
      <c r="AU289" s="181" t="s">
        <v>29</v>
      </c>
      <c r="AV289" s="180"/>
      <c r="AW289" s="181" t="s">
        <v>29</v>
      </c>
      <c r="AX289" s="180"/>
      <c r="AY289" s="181" t="s">
        <v>29</v>
      </c>
      <c r="AZ289" s="180"/>
      <c r="BA289" s="185" t="s">
        <v>29</v>
      </c>
      <c r="BB289" s="183"/>
    </row>
    <row r="290" spans="1:54" ht="21" customHeight="1">
      <c r="A290" s="112"/>
      <c r="B290" s="113"/>
      <c r="C290" s="173" t="str">
        <f ca="1">IF(H289="現在",IF(DATEDIF(C289,TODAY(),"YM")+1=12,DATEDIF(C289,TODAY(),"Y")+1&amp;"年",DATEDIF(C289,TODAY(),"Y")&amp;"年"&amp;DATEDIF(C289,TODAY(),"YM")+1&amp;"ヶ月"),IF(DATEDIF(C289,H289,"YM")+1=12,DATEDIF(C289,H289,"Y")+1&amp;"年",DATEDIF(C289,H289,"Y")&amp;"年"&amp;DATEDIF(C289,H289,"YM")+1&amp;"ヶ月"))</f>
        <v>7年2ヶ月</v>
      </c>
      <c r="D290" s="173"/>
      <c r="E290" s="173"/>
      <c r="F290" s="173"/>
      <c r="G290" s="173"/>
      <c r="H290" s="173"/>
      <c r="I290" s="173"/>
      <c r="J290" s="173"/>
      <c r="K290" s="174"/>
      <c r="L290" s="115" t="s">
        <v>58</v>
      </c>
      <c r="M290" s="116"/>
      <c r="N290" s="116"/>
      <c r="O290" s="116"/>
      <c r="P290" s="131" t="s">
        <v>59</v>
      </c>
      <c r="Q290" s="131"/>
      <c r="R290" s="131"/>
      <c r="S290" s="131"/>
      <c r="T290" s="131"/>
      <c r="U290" s="131"/>
      <c r="V290" s="131"/>
      <c r="W290" s="131"/>
      <c r="X290" s="131"/>
      <c r="Y290" s="131"/>
      <c r="Z290" s="131"/>
      <c r="AA290" s="131"/>
      <c r="AB290" s="132"/>
      <c r="AC290" s="115" t="s">
        <v>60</v>
      </c>
      <c r="AD290" s="116"/>
      <c r="AE290" s="116"/>
      <c r="AF290" s="116"/>
      <c r="AG290" s="175" t="s">
        <v>71</v>
      </c>
      <c r="AH290" s="175"/>
      <c r="AI290" s="175"/>
      <c r="AJ290" s="176"/>
      <c r="AK290" s="165"/>
      <c r="AL290" s="166"/>
      <c r="AM290" s="168"/>
      <c r="AN290" s="166"/>
      <c r="AO290" s="168"/>
      <c r="AP290" s="166"/>
      <c r="AQ290" s="168"/>
      <c r="AR290" s="166"/>
      <c r="AS290" s="168"/>
      <c r="AT290" s="166"/>
      <c r="AU290" s="168"/>
      <c r="AV290" s="166"/>
      <c r="AW290" s="168"/>
      <c r="AX290" s="166"/>
      <c r="AY290" s="168"/>
      <c r="AZ290" s="166"/>
      <c r="BA290" s="171"/>
      <c r="BB290" s="172"/>
    </row>
    <row r="291" spans="1:54" ht="21" customHeight="1">
      <c r="A291" s="112"/>
      <c r="B291" s="113"/>
      <c r="C291" s="135" t="s">
        <v>62</v>
      </c>
      <c r="D291" s="135"/>
      <c r="E291" s="135"/>
      <c r="F291" s="135"/>
      <c r="G291" s="135"/>
      <c r="H291" s="135"/>
      <c r="I291" s="135"/>
      <c r="J291" s="135"/>
      <c r="K291" s="135"/>
      <c r="L291" s="136" t="s">
        <v>63</v>
      </c>
      <c r="M291" s="137"/>
      <c r="N291" s="137"/>
      <c r="O291" s="137"/>
      <c r="P291" s="86" t="s">
        <v>133</v>
      </c>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c r="AQ291" s="86"/>
      <c r="AR291" s="86"/>
      <c r="AS291" s="86"/>
      <c r="AT291" s="86"/>
      <c r="AU291" s="86"/>
      <c r="AV291" s="86"/>
      <c r="AW291" s="86"/>
      <c r="AX291" s="86"/>
      <c r="AY291" s="86"/>
      <c r="AZ291" s="86"/>
      <c r="BA291" s="86"/>
      <c r="BB291" s="87"/>
    </row>
    <row r="292" spans="1:54" ht="36.75" customHeight="1">
      <c r="A292" s="112"/>
      <c r="B292" s="113"/>
      <c r="C292" s="88" t="s">
        <v>134</v>
      </c>
      <c r="D292" s="88"/>
      <c r="E292" s="88"/>
      <c r="F292" s="88"/>
      <c r="G292" s="88"/>
      <c r="H292" s="88"/>
      <c r="I292" s="88"/>
      <c r="J292" s="88"/>
      <c r="K292" s="89"/>
      <c r="L292" s="138"/>
      <c r="M292" s="139"/>
      <c r="N292" s="139"/>
      <c r="O292" s="139"/>
      <c r="P292" s="88"/>
      <c r="Q292" s="88"/>
      <c r="R292" s="88"/>
      <c r="S292" s="88"/>
      <c r="T292" s="88"/>
      <c r="U292" s="88"/>
      <c r="V292" s="88"/>
      <c r="W292" s="88"/>
      <c r="X292" s="88"/>
      <c r="Y292" s="88"/>
      <c r="Z292" s="88"/>
      <c r="AA292" s="88"/>
      <c r="AB292" s="88"/>
      <c r="AC292" s="88"/>
      <c r="AD292" s="88"/>
      <c r="AE292" s="88"/>
      <c r="AF292" s="88"/>
      <c r="AG292" s="88"/>
      <c r="AH292" s="88"/>
      <c r="AI292" s="88"/>
      <c r="AJ292" s="88"/>
      <c r="AK292" s="88"/>
      <c r="AL292" s="88"/>
      <c r="AM292" s="88"/>
      <c r="AN292" s="88"/>
      <c r="AO292" s="88"/>
      <c r="AP292" s="88"/>
      <c r="AQ292" s="88"/>
      <c r="AR292" s="88"/>
      <c r="AS292" s="88"/>
      <c r="AT292" s="88"/>
      <c r="AU292" s="88"/>
      <c r="AV292" s="88"/>
      <c r="AW292" s="88"/>
      <c r="AX292" s="88"/>
      <c r="AY292" s="88"/>
      <c r="AZ292" s="88"/>
      <c r="BA292" s="88"/>
      <c r="BB292" s="89"/>
    </row>
    <row r="293" spans="1:54" ht="36.75" customHeight="1">
      <c r="A293" s="112"/>
      <c r="B293" s="113"/>
      <c r="C293" s="88"/>
      <c r="D293" s="88"/>
      <c r="E293" s="88"/>
      <c r="F293" s="88"/>
      <c r="G293" s="88"/>
      <c r="H293" s="88"/>
      <c r="I293" s="88"/>
      <c r="J293" s="88"/>
      <c r="K293" s="89"/>
      <c r="L293" s="138"/>
      <c r="M293" s="139"/>
      <c r="N293" s="139"/>
      <c r="O293" s="139"/>
      <c r="P293" s="88"/>
      <c r="Q293" s="88"/>
      <c r="R293" s="88"/>
      <c r="S293" s="88"/>
      <c r="T293" s="88"/>
      <c r="U293" s="88"/>
      <c r="V293" s="88"/>
      <c r="W293" s="88"/>
      <c r="X293" s="88"/>
      <c r="Y293" s="88"/>
      <c r="Z293" s="88"/>
      <c r="AA293" s="88"/>
      <c r="AB293" s="88"/>
      <c r="AC293" s="88"/>
      <c r="AD293" s="88"/>
      <c r="AE293" s="88"/>
      <c r="AF293" s="88"/>
      <c r="AG293" s="88"/>
      <c r="AH293" s="88"/>
      <c r="AI293" s="88"/>
      <c r="AJ293" s="88"/>
      <c r="AK293" s="88"/>
      <c r="AL293" s="88"/>
      <c r="AM293" s="88"/>
      <c r="AN293" s="88"/>
      <c r="AO293" s="88"/>
      <c r="AP293" s="88"/>
      <c r="AQ293" s="88"/>
      <c r="AR293" s="88"/>
      <c r="AS293" s="88"/>
      <c r="AT293" s="88"/>
      <c r="AU293" s="88"/>
      <c r="AV293" s="88"/>
      <c r="AW293" s="88"/>
      <c r="AX293" s="88"/>
      <c r="AY293" s="88"/>
      <c r="AZ293" s="88"/>
      <c r="BA293" s="88"/>
      <c r="BB293" s="89"/>
    </row>
    <row r="294" spans="1:54" ht="36.75" customHeight="1">
      <c r="A294" s="112"/>
      <c r="B294" s="113"/>
      <c r="C294" s="88"/>
      <c r="D294" s="88"/>
      <c r="E294" s="88"/>
      <c r="F294" s="88"/>
      <c r="G294" s="88"/>
      <c r="H294" s="88"/>
      <c r="I294" s="88"/>
      <c r="J294" s="88"/>
      <c r="K294" s="89"/>
      <c r="L294" s="138"/>
      <c r="M294" s="139"/>
      <c r="N294" s="139"/>
      <c r="O294" s="139"/>
      <c r="P294" s="88"/>
      <c r="Q294" s="88"/>
      <c r="R294" s="88"/>
      <c r="S294" s="88"/>
      <c r="T294" s="88"/>
      <c r="U294" s="88"/>
      <c r="V294" s="88"/>
      <c r="W294" s="88"/>
      <c r="X294" s="88"/>
      <c r="Y294" s="88"/>
      <c r="Z294" s="88"/>
      <c r="AA294" s="88"/>
      <c r="AB294" s="88"/>
      <c r="AC294" s="88"/>
      <c r="AD294" s="88"/>
      <c r="AE294" s="88"/>
      <c r="AF294" s="88"/>
      <c r="AG294" s="88"/>
      <c r="AH294" s="88"/>
      <c r="AI294" s="88"/>
      <c r="AJ294" s="88"/>
      <c r="AK294" s="88"/>
      <c r="AL294" s="88"/>
      <c r="AM294" s="88"/>
      <c r="AN294" s="88"/>
      <c r="AO294" s="88"/>
      <c r="AP294" s="88"/>
      <c r="AQ294" s="88"/>
      <c r="AR294" s="88"/>
      <c r="AS294" s="88"/>
      <c r="AT294" s="88"/>
      <c r="AU294" s="88"/>
      <c r="AV294" s="88"/>
      <c r="AW294" s="88"/>
      <c r="AX294" s="88"/>
      <c r="AY294" s="88"/>
      <c r="AZ294" s="88"/>
      <c r="BA294" s="88"/>
      <c r="BB294" s="89"/>
    </row>
    <row r="295" spans="1:54" ht="36.75" customHeight="1">
      <c r="A295" s="112"/>
      <c r="B295" s="113"/>
      <c r="C295" s="88"/>
      <c r="D295" s="88"/>
      <c r="E295" s="88"/>
      <c r="F295" s="88"/>
      <c r="G295" s="88"/>
      <c r="H295" s="88"/>
      <c r="I295" s="88"/>
      <c r="J295" s="88"/>
      <c r="K295" s="89"/>
      <c r="L295" s="138"/>
      <c r="M295" s="139"/>
      <c r="N295" s="139"/>
      <c r="O295" s="139"/>
      <c r="P295" s="88"/>
      <c r="Q295" s="88"/>
      <c r="R295" s="88"/>
      <c r="S295" s="88"/>
      <c r="T295" s="88"/>
      <c r="U295" s="88"/>
      <c r="V295" s="88"/>
      <c r="W295" s="88"/>
      <c r="X295" s="88"/>
      <c r="Y295" s="88"/>
      <c r="Z295" s="88"/>
      <c r="AA295" s="88"/>
      <c r="AB295" s="88"/>
      <c r="AC295" s="88"/>
      <c r="AD295" s="88"/>
      <c r="AE295" s="88"/>
      <c r="AF295" s="88"/>
      <c r="AG295" s="88"/>
      <c r="AH295" s="88"/>
      <c r="AI295" s="88"/>
      <c r="AJ295" s="88"/>
      <c r="AK295" s="88"/>
      <c r="AL295" s="88"/>
      <c r="AM295" s="88"/>
      <c r="AN295" s="88"/>
      <c r="AO295" s="88"/>
      <c r="AP295" s="88"/>
      <c r="AQ295" s="88"/>
      <c r="AR295" s="88"/>
      <c r="AS295" s="88"/>
      <c r="AT295" s="88"/>
      <c r="AU295" s="88"/>
      <c r="AV295" s="88"/>
      <c r="AW295" s="88"/>
      <c r="AX295" s="88"/>
      <c r="AY295" s="88"/>
      <c r="AZ295" s="88"/>
      <c r="BA295" s="88"/>
      <c r="BB295" s="89"/>
    </row>
    <row r="296" spans="1:54" ht="36.75" customHeight="1">
      <c r="A296" s="112"/>
      <c r="B296" s="113"/>
      <c r="C296" s="88"/>
      <c r="D296" s="88"/>
      <c r="E296" s="88"/>
      <c r="F296" s="88"/>
      <c r="G296" s="88"/>
      <c r="H296" s="88"/>
      <c r="I296" s="88"/>
      <c r="J296" s="88"/>
      <c r="K296" s="89"/>
      <c r="L296" s="138"/>
      <c r="M296" s="139"/>
      <c r="N296" s="139"/>
      <c r="O296" s="139"/>
      <c r="P296" s="88"/>
      <c r="Q296" s="88"/>
      <c r="R296" s="88"/>
      <c r="S296" s="88"/>
      <c r="T296" s="88"/>
      <c r="U296" s="88"/>
      <c r="V296" s="88"/>
      <c r="W296" s="88"/>
      <c r="X296" s="88"/>
      <c r="Y296" s="88"/>
      <c r="Z296" s="88"/>
      <c r="AA296" s="88"/>
      <c r="AB296" s="88"/>
      <c r="AC296" s="88"/>
      <c r="AD296" s="88"/>
      <c r="AE296" s="88"/>
      <c r="AF296" s="88"/>
      <c r="AG296" s="88"/>
      <c r="AH296" s="88"/>
      <c r="AI296" s="88"/>
      <c r="AJ296" s="88"/>
      <c r="AK296" s="88"/>
      <c r="AL296" s="88"/>
      <c r="AM296" s="88"/>
      <c r="AN296" s="88"/>
      <c r="AO296" s="88"/>
      <c r="AP296" s="88"/>
      <c r="AQ296" s="88"/>
      <c r="AR296" s="88"/>
      <c r="AS296" s="88"/>
      <c r="AT296" s="88"/>
      <c r="AU296" s="88"/>
      <c r="AV296" s="88"/>
      <c r="AW296" s="88"/>
      <c r="AX296" s="88"/>
      <c r="AY296" s="88"/>
      <c r="AZ296" s="88"/>
      <c r="BA296" s="88"/>
      <c r="BB296" s="89"/>
    </row>
    <row r="297" spans="1:54" ht="36.75" customHeight="1">
      <c r="A297" s="112"/>
      <c r="B297" s="113"/>
      <c r="C297" s="88"/>
      <c r="D297" s="88"/>
      <c r="E297" s="88"/>
      <c r="F297" s="88"/>
      <c r="G297" s="88"/>
      <c r="H297" s="88"/>
      <c r="I297" s="88"/>
      <c r="J297" s="88"/>
      <c r="K297" s="89"/>
      <c r="L297" s="138"/>
      <c r="M297" s="139"/>
      <c r="N297" s="139"/>
      <c r="O297" s="139"/>
      <c r="P297" s="88"/>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88"/>
      <c r="AN297" s="88"/>
      <c r="AO297" s="88"/>
      <c r="AP297" s="88"/>
      <c r="AQ297" s="88"/>
      <c r="AR297" s="88"/>
      <c r="AS297" s="88"/>
      <c r="AT297" s="88"/>
      <c r="AU297" s="88"/>
      <c r="AV297" s="88"/>
      <c r="AW297" s="88"/>
      <c r="AX297" s="88"/>
      <c r="AY297" s="88"/>
      <c r="AZ297" s="88"/>
      <c r="BA297" s="88"/>
      <c r="BB297" s="89"/>
    </row>
    <row r="298" spans="1:54" ht="36.75" customHeight="1">
      <c r="A298" s="112"/>
      <c r="B298" s="113"/>
      <c r="C298" s="88"/>
      <c r="D298" s="88"/>
      <c r="E298" s="88"/>
      <c r="F298" s="88"/>
      <c r="G298" s="88"/>
      <c r="H298" s="88"/>
      <c r="I298" s="88"/>
      <c r="J298" s="88"/>
      <c r="K298" s="89"/>
      <c r="L298" s="138"/>
      <c r="M298" s="139"/>
      <c r="N298" s="139"/>
      <c r="O298" s="139"/>
      <c r="P298" s="88"/>
      <c r="Q298" s="88"/>
      <c r="R298" s="88"/>
      <c r="S298" s="88"/>
      <c r="T298" s="88"/>
      <c r="U298" s="88"/>
      <c r="V298" s="88"/>
      <c r="W298" s="88"/>
      <c r="X298" s="88"/>
      <c r="Y298" s="88"/>
      <c r="Z298" s="88"/>
      <c r="AA298" s="88"/>
      <c r="AB298" s="88"/>
      <c r="AC298" s="88"/>
      <c r="AD298" s="88"/>
      <c r="AE298" s="88"/>
      <c r="AF298" s="88"/>
      <c r="AG298" s="88"/>
      <c r="AH298" s="88"/>
      <c r="AI298" s="88"/>
      <c r="AJ298" s="88"/>
      <c r="AK298" s="88"/>
      <c r="AL298" s="88"/>
      <c r="AM298" s="88"/>
      <c r="AN298" s="88"/>
      <c r="AO298" s="88"/>
      <c r="AP298" s="88"/>
      <c r="AQ298" s="88"/>
      <c r="AR298" s="88"/>
      <c r="AS298" s="88"/>
      <c r="AT298" s="88"/>
      <c r="AU298" s="88"/>
      <c r="AV298" s="88"/>
      <c r="AW298" s="88"/>
      <c r="AX298" s="88"/>
      <c r="AY298" s="88"/>
      <c r="AZ298" s="88"/>
      <c r="BA298" s="88"/>
      <c r="BB298" s="89"/>
    </row>
    <row r="299" spans="1:54" ht="36.75" customHeight="1">
      <c r="A299" s="146"/>
      <c r="B299" s="147"/>
      <c r="C299" s="90"/>
      <c r="D299" s="90"/>
      <c r="E299" s="90"/>
      <c r="F299" s="90"/>
      <c r="G299" s="90"/>
      <c r="H299" s="90"/>
      <c r="I299" s="90"/>
      <c r="J299" s="90"/>
      <c r="K299" s="91"/>
      <c r="L299" s="158"/>
      <c r="M299" s="159"/>
      <c r="N299" s="159"/>
      <c r="O299" s="159"/>
      <c r="P299" s="90"/>
      <c r="Q299" s="90"/>
      <c r="R299" s="90"/>
      <c r="S299" s="90"/>
      <c r="T299" s="90"/>
      <c r="U299" s="90"/>
      <c r="V299" s="90"/>
      <c r="W299" s="90"/>
      <c r="X299" s="90"/>
      <c r="Y299" s="90"/>
      <c r="Z299" s="90"/>
      <c r="AA299" s="90"/>
      <c r="AB299" s="90"/>
      <c r="AC299" s="90"/>
      <c r="AD299" s="90"/>
      <c r="AE299" s="90"/>
      <c r="AF299" s="90"/>
      <c r="AG299" s="90"/>
      <c r="AH299" s="90"/>
      <c r="AI299" s="90"/>
      <c r="AJ299" s="90"/>
      <c r="AK299" s="90"/>
      <c r="AL299" s="90"/>
      <c r="AM299" s="90"/>
      <c r="AN299" s="90"/>
      <c r="AO299" s="90"/>
      <c r="AP299" s="90"/>
      <c r="AQ299" s="90"/>
      <c r="AR299" s="90"/>
      <c r="AS299" s="90"/>
      <c r="AT299" s="90"/>
      <c r="AU299" s="90"/>
      <c r="AV299" s="90"/>
      <c r="AW299" s="90"/>
      <c r="AX299" s="90"/>
      <c r="AY299" s="90"/>
      <c r="AZ299" s="90"/>
      <c r="BA299" s="90"/>
      <c r="BB299" s="91"/>
    </row>
  </sheetData>
  <mergeCells count="818">
    <mergeCell ref="AU289:AV290"/>
    <mergeCell ref="AW289:AX290"/>
    <mergeCell ref="AY289:AZ290"/>
    <mergeCell ref="BA289:BB290"/>
    <mergeCell ref="C290:K290"/>
    <mergeCell ref="L290:O290"/>
    <mergeCell ref="P290:AB290"/>
    <mergeCell ref="AC290:AF290"/>
    <mergeCell ref="AG290:AJ290"/>
    <mergeCell ref="C291:K291"/>
    <mergeCell ref="L291:O299"/>
    <mergeCell ref="A288:B288"/>
    <mergeCell ref="C288:K288"/>
    <mergeCell ref="L288:AJ288"/>
    <mergeCell ref="AK288:AL288"/>
    <mergeCell ref="AM288:AN288"/>
    <mergeCell ref="AO288:AP288"/>
    <mergeCell ref="AQ288:AR288"/>
    <mergeCell ref="P291:BB299"/>
    <mergeCell ref="C292:K299"/>
    <mergeCell ref="AW288:AX288"/>
    <mergeCell ref="AY288:AZ288"/>
    <mergeCell ref="BA288:BB288"/>
    <mergeCell ref="A289:B299"/>
    <mergeCell ref="C289:F289"/>
    <mergeCell ref="H289:K289"/>
    <mergeCell ref="L289:O289"/>
    <mergeCell ref="P289:AJ289"/>
    <mergeCell ref="AK289:AL290"/>
    <mergeCell ref="AM289:AN290"/>
    <mergeCell ref="AO289:AP290"/>
    <mergeCell ref="AQ289:AR290"/>
    <mergeCell ref="AS289:AT290"/>
    <mergeCell ref="AS288:AT288"/>
    <mergeCell ref="AU288:AV288"/>
    <mergeCell ref="AS277:AT278"/>
    <mergeCell ref="AU277:AV278"/>
    <mergeCell ref="AW277:AX278"/>
    <mergeCell ref="AY277:AZ278"/>
    <mergeCell ref="BA277:BB278"/>
    <mergeCell ref="C278:K278"/>
    <mergeCell ref="L278:O278"/>
    <mergeCell ref="P278:AB278"/>
    <mergeCell ref="AC278:AF278"/>
    <mergeCell ref="AG278:AJ278"/>
    <mergeCell ref="A277:B287"/>
    <mergeCell ref="C277:F277"/>
    <mergeCell ref="H277:K277"/>
    <mergeCell ref="L277:O277"/>
    <mergeCell ref="P277:AJ277"/>
    <mergeCell ref="AK277:AL278"/>
    <mergeCell ref="AM277:AN278"/>
    <mergeCell ref="AO277:AP278"/>
    <mergeCell ref="AQ277:AR278"/>
    <mergeCell ref="C279:K279"/>
    <mergeCell ref="L279:O287"/>
    <mergeCell ref="P279:BB287"/>
    <mergeCell ref="C280:K287"/>
    <mergeCell ref="P267:BB275"/>
    <mergeCell ref="C268:K275"/>
    <mergeCell ref="A276:B276"/>
    <mergeCell ref="C276:K276"/>
    <mergeCell ref="L276:AJ276"/>
    <mergeCell ref="AK276:AL276"/>
    <mergeCell ref="AM276:AN276"/>
    <mergeCell ref="AO276:AP276"/>
    <mergeCell ref="AQ276:AR276"/>
    <mergeCell ref="AS276:AT276"/>
    <mergeCell ref="AU276:AV276"/>
    <mergeCell ref="AW276:AX276"/>
    <mergeCell ref="AY276:AZ276"/>
    <mergeCell ref="BA276:BB276"/>
    <mergeCell ref="AW264:AX264"/>
    <mergeCell ref="AY264:AZ264"/>
    <mergeCell ref="BA264:BB264"/>
    <mergeCell ref="A265:B275"/>
    <mergeCell ref="C265:F265"/>
    <mergeCell ref="H265:K265"/>
    <mergeCell ref="L265:O265"/>
    <mergeCell ref="P265:AJ265"/>
    <mergeCell ref="AK265:AL266"/>
    <mergeCell ref="AM265:AN266"/>
    <mergeCell ref="AO265:AP266"/>
    <mergeCell ref="AQ265:AR266"/>
    <mergeCell ref="AS265:AT266"/>
    <mergeCell ref="AU265:AV266"/>
    <mergeCell ref="AW265:AX266"/>
    <mergeCell ref="AY265:AZ266"/>
    <mergeCell ref="BA265:BB266"/>
    <mergeCell ref="C266:K266"/>
    <mergeCell ref="L266:O266"/>
    <mergeCell ref="P266:AB266"/>
    <mergeCell ref="AC266:AF266"/>
    <mergeCell ref="AG266:AJ266"/>
    <mergeCell ref="C267:K267"/>
    <mergeCell ref="L267:O275"/>
    <mergeCell ref="A264:B264"/>
    <mergeCell ref="C264:K264"/>
    <mergeCell ref="L264:AJ264"/>
    <mergeCell ref="AK264:AL264"/>
    <mergeCell ref="AM264:AN264"/>
    <mergeCell ref="AO264:AP264"/>
    <mergeCell ref="AQ264:AR264"/>
    <mergeCell ref="AS264:AT264"/>
    <mergeCell ref="AU264:AV264"/>
    <mergeCell ref="A253:B263"/>
    <mergeCell ref="C253:F253"/>
    <mergeCell ref="H253:K253"/>
    <mergeCell ref="L253:O253"/>
    <mergeCell ref="P253:AJ253"/>
    <mergeCell ref="AK253:AL254"/>
    <mergeCell ref="AM253:AN254"/>
    <mergeCell ref="AO253:AP254"/>
    <mergeCell ref="AQ253:AR254"/>
    <mergeCell ref="C255:K255"/>
    <mergeCell ref="L255:O263"/>
    <mergeCell ref="P255:BB263"/>
    <mergeCell ref="C256:K263"/>
    <mergeCell ref="AS253:AT254"/>
    <mergeCell ref="AU253:AV254"/>
    <mergeCell ref="AW253:AX254"/>
    <mergeCell ref="AY253:AZ254"/>
    <mergeCell ref="BA253:BB254"/>
    <mergeCell ref="C254:K254"/>
    <mergeCell ref="L254:O254"/>
    <mergeCell ref="P254:AB254"/>
    <mergeCell ref="AC254:AF254"/>
    <mergeCell ref="AG254:AJ254"/>
    <mergeCell ref="P243:BB251"/>
    <mergeCell ref="C244:K251"/>
    <mergeCell ref="A252:B252"/>
    <mergeCell ref="C252:K252"/>
    <mergeCell ref="L252:AJ252"/>
    <mergeCell ref="AK252:AL252"/>
    <mergeCell ref="AM252:AN252"/>
    <mergeCell ref="AO252:AP252"/>
    <mergeCell ref="AQ252:AR252"/>
    <mergeCell ref="AS252:AT252"/>
    <mergeCell ref="AU252:AV252"/>
    <mergeCell ref="AW252:AX252"/>
    <mergeCell ref="AY252:AZ252"/>
    <mergeCell ref="BA252:BB252"/>
    <mergeCell ref="AW240:AX240"/>
    <mergeCell ref="AY240:AZ240"/>
    <mergeCell ref="BA240:BB240"/>
    <mergeCell ref="A241:B251"/>
    <mergeCell ref="C241:F241"/>
    <mergeCell ref="H241:K241"/>
    <mergeCell ref="L241:O241"/>
    <mergeCell ref="P241:AJ241"/>
    <mergeCell ref="AK241:AL242"/>
    <mergeCell ref="AM241:AN242"/>
    <mergeCell ref="AO241:AP242"/>
    <mergeCell ref="AQ241:AR242"/>
    <mergeCell ref="AS241:AT242"/>
    <mergeCell ref="AU241:AV242"/>
    <mergeCell ref="AW241:AX242"/>
    <mergeCell ref="AY241:AZ242"/>
    <mergeCell ref="BA241:BB242"/>
    <mergeCell ref="C242:K242"/>
    <mergeCell ref="L242:O242"/>
    <mergeCell ref="P242:AB242"/>
    <mergeCell ref="AC242:AF242"/>
    <mergeCell ref="AG242:AJ242"/>
    <mergeCell ref="C243:K243"/>
    <mergeCell ref="L243:O251"/>
    <mergeCell ref="A240:B240"/>
    <mergeCell ref="C240:K240"/>
    <mergeCell ref="L240:AJ240"/>
    <mergeCell ref="AK240:AL240"/>
    <mergeCell ref="AM240:AN240"/>
    <mergeCell ref="AO240:AP240"/>
    <mergeCell ref="AQ240:AR240"/>
    <mergeCell ref="AS240:AT240"/>
    <mergeCell ref="AU240:AV240"/>
    <mergeCell ref="A229:B239"/>
    <mergeCell ref="C229:F229"/>
    <mergeCell ref="H229:K229"/>
    <mergeCell ref="L229:O229"/>
    <mergeCell ref="P229:AJ229"/>
    <mergeCell ref="AK229:AL230"/>
    <mergeCell ref="AM229:AN230"/>
    <mergeCell ref="AO229:AP230"/>
    <mergeCell ref="AQ229:AR230"/>
    <mergeCell ref="C231:K231"/>
    <mergeCell ref="L231:O239"/>
    <mergeCell ref="P231:BB239"/>
    <mergeCell ref="C232:K239"/>
    <mergeCell ref="AS229:AT230"/>
    <mergeCell ref="AU229:AV230"/>
    <mergeCell ref="AW229:AX230"/>
    <mergeCell ref="AY229:AZ230"/>
    <mergeCell ref="BA229:BB230"/>
    <mergeCell ref="C230:K230"/>
    <mergeCell ref="L230:O230"/>
    <mergeCell ref="P230:AB230"/>
    <mergeCell ref="AC230:AF230"/>
    <mergeCell ref="AG230:AJ230"/>
    <mergeCell ref="P214:BB227"/>
    <mergeCell ref="C215:K227"/>
    <mergeCell ref="A228:B228"/>
    <mergeCell ref="C228:K228"/>
    <mergeCell ref="L228:AJ228"/>
    <mergeCell ref="AK228:AL228"/>
    <mergeCell ref="AM228:AN228"/>
    <mergeCell ref="AO228:AP228"/>
    <mergeCell ref="AQ228:AR228"/>
    <mergeCell ref="AS228:AT228"/>
    <mergeCell ref="AU228:AV228"/>
    <mergeCell ref="AW228:AX228"/>
    <mergeCell ref="AY228:AZ228"/>
    <mergeCell ref="BA228:BB228"/>
    <mergeCell ref="AW211:AX211"/>
    <mergeCell ref="AY211:AZ211"/>
    <mergeCell ref="BA211:BB211"/>
    <mergeCell ref="A212:B227"/>
    <mergeCell ref="C212:F212"/>
    <mergeCell ref="H212:K212"/>
    <mergeCell ref="L212:O212"/>
    <mergeCell ref="P212:AJ212"/>
    <mergeCell ref="AK212:AL213"/>
    <mergeCell ref="AM212:AN213"/>
    <mergeCell ref="AO212:AP213"/>
    <mergeCell ref="AQ212:AR213"/>
    <mergeCell ref="AS212:AT213"/>
    <mergeCell ref="AU212:AV213"/>
    <mergeCell ref="AW212:AX213"/>
    <mergeCell ref="AY212:AZ213"/>
    <mergeCell ref="BA212:BB213"/>
    <mergeCell ref="C213:K213"/>
    <mergeCell ref="L213:O213"/>
    <mergeCell ref="P213:AB213"/>
    <mergeCell ref="AC213:AF213"/>
    <mergeCell ref="AG213:AJ213"/>
    <mergeCell ref="C214:K214"/>
    <mergeCell ref="L214:O227"/>
    <mergeCell ref="A211:B211"/>
    <mergeCell ref="C211:K211"/>
    <mergeCell ref="L211:AJ211"/>
    <mergeCell ref="AK211:AL211"/>
    <mergeCell ref="AM211:AN211"/>
    <mergeCell ref="AO211:AP211"/>
    <mergeCell ref="AQ211:AR211"/>
    <mergeCell ref="AS211:AT211"/>
    <mergeCell ref="AU211:AV211"/>
    <mergeCell ref="A200:B210"/>
    <mergeCell ref="C200:F200"/>
    <mergeCell ref="H200:K200"/>
    <mergeCell ref="L200:O200"/>
    <mergeCell ref="P200:AJ200"/>
    <mergeCell ref="AK200:AL201"/>
    <mergeCell ref="AM200:AN201"/>
    <mergeCell ref="AO200:AP201"/>
    <mergeCell ref="AQ200:AR201"/>
    <mergeCell ref="C202:K202"/>
    <mergeCell ref="L202:O210"/>
    <mergeCell ref="P202:BB210"/>
    <mergeCell ref="C203:K210"/>
    <mergeCell ref="AS200:AT201"/>
    <mergeCell ref="AU200:AV201"/>
    <mergeCell ref="AW200:AX201"/>
    <mergeCell ref="AY200:AZ201"/>
    <mergeCell ref="BA200:BB201"/>
    <mergeCell ref="C201:K201"/>
    <mergeCell ref="L201:O201"/>
    <mergeCell ref="P201:AB201"/>
    <mergeCell ref="AC201:AF201"/>
    <mergeCell ref="AG201:AJ201"/>
    <mergeCell ref="P174:BB198"/>
    <mergeCell ref="C175:K198"/>
    <mergeCell ref="A199:B199"/>
    <mergeCell ref="C199:K199"/>
    <mergeCell ref="L199:AJ199"/>
    <mergeCell ref="AK199:AL199"/>
    <mergeCell ref="AM199:AN199"/>
    <mergeCell ref="AO199:AP199"/>
    <mergeCell ref="AQ199:AR199"/>
    <mergeCell ref="AS199:AT199"/>
    <mergeCell ref="AU199:AV199"/>
    <mergeCell ref="AW199:AX199"/>
    <mergeCell ref="AY199:AZ199"/>
    <mergeCell ref="BA199:BB199"/>
    <mergeCell ref="AW171:AX171"/>
    <mergeCell ref="AY171:AZ171"/>
    <mergeCell ref="BA171:BB171"/>
    <mergeCell ref="A172:B198"/>
    <mergeCell ref="C172:F172"/>
    <mergeCell ref="H172:K172"/>
    <mergeCell ref="L172:O172"/>
    <mergeCell ref="P172:AJ172"/>
    <mergeCell ref="AK172:AL173"/>
    <mergeCell ref="AM172:AN173"/>
    <mergeCell ref="AO172:AP173"/>
    <mergeCell ref="AQ172:AR173"/>
    <mergeCell ref="AS172:AT173"/>
    <mergeCell ref="AU172:AV173"/>
    <mergeCell ref="AW172:AX173"/>
    <mergeCell ref="AY172:AZ173"/>
    <mergeCell ref="BA172:BB173"/>
    <mergeCell ref="C173:K173"/>
    <mergeCell ref="L173:O173"/>
    <mergeCell ref="P173:AB173"/>
    <mergeCell ref="AC173:AF173"/>
    <mergeCell ref="AG173:AJ173"/>
    <mergeCell ref="C174:K174"/>
    <mergeCell ref="L174:O198"/>
    <mergeCell ref="A171:B171"/>
    <mergeCell ref="C171:K171"/>
    <mergeCell ref="L171:AJ171"/>
    <mergeCell ref="AK171:AL171"/>
    <mergeCell ref="AM171:AN171"/>
    <mergeCell ref="AO171:AP171"/>
    <mergeCell ref="AQ171:AR171"/>
    <mergeCell ref="AS171:AT171"/>
    <mergeCell ref="AU171:AV171"/>
    <mergeCell ref="A160:B170"/>
    <mergeCell ref="C160:F160"/>
    <mergeCell ref="H160:K160"/>
    <mergeCell ref="L160:O160"/>
    <mergeCell ref="P160:AJ160"/>
    <mergeCell ref="AK160:AL161"/>
    <mergeCell ref="AM160:AN161"/>
    <mergeCell ref="AO160:AP161"/>
    <mergeCell ref="AQ160:AR161"/>
    <mergeCell ref="C162:K162"/>
    <mergeCell ref="L162:O170"/>
    <mergeCell ref="P162:BB170"/>
    <mergeCell ref="C163:K170"/>
    <mergeCell ref="AS160:AT161"/>
    <mergeCell ref="AU160:AV161"/>
    <mergeCell ref="AW160:AX161"/>
    <mergeCell ref="AY160:AZ161"/>
    <mergeCell ref="BA160:BB161"/>
    <mergeCell ref="C161:K161"/>
    <mergeCell ref="L161:O161"/>
    <mergeCell ref="P161:AB161"/>
    <mergeCell ref="AC161:AF161"/>
    <mergeCell ref="AG161:AJ161"/>
    <mergeCell ref="P150:BB158"/>
    <mergeCell ref="C151:K158"/>
    <mergeCell ref="A159:B159"/>
    <mergeCell ref="C159:K159"/>
    <mergeCell ref="L159:AJ159"/>
    <mergeCell ref="AK159:AL159"/>
    <mergeCell ref="AM159:AN159"/>
    <mergeCell ref="AO159:AP159"/>
    <mergeCell ref="AQ159:AR159"/>
    <mergeCell ref="AS159:AT159"/>
    <mergeCell ref="AU159:AV159"/>
    <mergeCell ref="AW159:AX159"/>
    <mergeCell ref="AY159:AZ159"/>
    <mergeCell ref="BA159:BB159"/>
    <mergeCell ref="AW147:AX147"/>
    <mergeCell ref="AY147:AZ147"/>
    <mergeCell ref="BA147:BB147"/>
    <mergeCell ref="A148:B158"/>
    <mergeCell ref="C148:F148"/>
    <mergeCell ref="H148:K148"/>
    <mergeCell ref="L148:O148"/>
    <mergeCell ref="P148:AJ148"/>
    <mergeCell ref="AK148:AL149"/>
    <mergeCell ref="AM148:AN149"/>
    <mergeCell ref="AO148:AP149"/>
    <mergeCell ref="AQ148:AR149"/>
    <mergeCell ref="AS148:AT149"/>
    <mergeCell ref="AU148:AV149"/>
    <mergeCell ref="AW148:AX149"/>
    <mergeCell ref="AY148:AZ149"/>
    <mergeCell ref="BA148:BB149"/>
    <mergeCell ref="C149:K149"/>
    <mergeCell ref="L149:O149"/>
    <mergeCell ref="P149:AB149"/>
    <mergeCell ref="AC149:AF149"/>
    <mergeCell ref="AG149:AJ149"/>
    <mergeCell ref="C150:K150"/>
    <mergeCell ref="L150:O158"/>
    <mergeCell ref="A147:B147"/>
    <mergeCell ref="C147:K147"/>
    <mergeCell ref="L147:AJ147"/>
    <mergeCell ref="AK147:AL147"/>
    <mergeCell ref="AM147:AN147"/>
    <mergeCell ref="AO147:AP147"/>
    <mergeCell ref="AQ147:AR147"/>
    <mergeCell ref="AS147:AT147"/>
    <mergeCell ref="AU147:AV147"/>
    <mergeCell ref="A136:B146"/>
    <mergeCell ref="C136:F136"/>
    <mergeCell ref="H136:K136"/>
    <mergeCell ref="L136:O136"/>
    <mergeCell ref="P136:AJ136"/>
    <mergeCell ref="AK136:AL137"/>
    <mergeCell ref="AM136:AN137"/>
    <mergeCell ref="AO136:AP137"/>
    <mergeCell ref="AQ136:AR137"/>
    <mergeCell ref="C138:K138"/>
    <mergeCell ref="L138:O146"/>
    <mergeCell ref="P138:BB146"/>
    <mergeCell ref="C139:K146"/>
    <mergeCell ref="AS136:AT137"/>
    <mergeCell ref="AU136:AV137"/>
    <mergeCell ref="AW136:AX137"/>
    <mergeCell ref="AY136:AZ137"/>
    <mergeCell ref="BA136:BB137"/>
    <mergeCell ref="C137:K137"/>
    <mergeCell ref="L137:O137"/>
    <mergeCell ref="P137:AB137"/>
    <mergeCell ref="AC137:AF137"/>
    <mergeCell ref="AG137:AJ137"/>
    <mergeCell ref="P126:BB134"/>
    <mergeCell ref="C127:K134"/>
    <mergeCell ref="A135:B135"/>
    <mergeCell ref="C135:K135"/>
    <mergeCell ref="L135:AJ135"/>
    <mergeCell ref="AK135:AL135"/>
    <mergeCell ref="AM135:AN135"/>
    <mergeCell ref="AO135:AP135"/>
    <mergeCell ref="AQ135:AR135"/>
    <mergeCell ref="AS135:AT135"/>
    <mergeCell ref="AU135:AV135"/>
    <mergeCell ref="AW135:AX135"/>
    <mergeCell ref="AY135:AZ135"/>
    <mergeCell ref="BA135:BB135"/>
    <mergeCell ref="AW123:AX123"/>
    <mergeCell ref="AY123:AZ123"/>
    <mergeCell ref="BA123:BB123"/>
    <mergeCell ref="A124:B134"/>
    <mergeCell ref="C124:F124"/>
    <mergeCell ref="H124:K124"/>
    <mergeCell ref="L124:O124"/>
    <mergeCell ref="P124:AJ124"/>
    <mergeCell ref="AK124:AL125"/>
    <mergeCell ref="AM124:AN125"/>
    <mergeCell ref="AO124:AP125"/>
    <mergeCell ref="AQ124:AR125"/>
    <mergeCell ref="AS124:AT125"/>
    <mergeCell ref="AU124:AV125"/>
    <mergeCell ref="AW124:AX125"/>
    <mergeCell ref="AY124:AZ125"/>
    <mergeCell ref="BA124:BB125"/>
    <mergeCell ref="C125:K125"/>
    <mergeCell ref="L125:O125"/>
    <mergeCell ref="P125:AB125"/>
    <mergeCell ref="AC125:AF125"/>
    <mergeCell ref="AG125:AJ125"/>
    <mergeCell ref="C126:K126"/>
    <mergeCell ref="L126:O134"/>
    <mergeCell ref="A123:B123"/>
    <mergeCell ref="C123:K123"/>
    <mergeCell ref="L123:AJ123"/>
    <mergeCell ref="AK123:AL123"/>
    <mergeCell ref="AM123:AN123"/>
    <mergeCell ref="AO123:AP123"/>
    <mergeCell ref="AQ123:AR123"/>
    <mergeCell ref="AS123:AT123"/>
    <mergeCell ref="AU123:AV123"/>
    <mergeCell ref="A112:B122"/>
    <mergeCell ref="C112:F112"/>
    <mergeCell ref="H112:K112"/>
    <mergeCell ref="L112:O112"/>
    <mergeCell ref="P112:AJ112"/>
    <mergeCell ref="AK112:AL113"/>
    <mergeCell ref="AM112:AN113"/>
    <mergeCell ref="AO112:AP113"/>
    <mergeCell ref="AQ112:AR113"/>
    <mergeCell ref="C114:K114"/>
    <mergeCell ref="L114:O122"/>
    <mergeCell ref="P114:BB122"/>
    <mergeCell ref="C115:K122"/>
    <mergeCell ref="AS112:AT113"/>
    <mergeCell ref="AU112:AV113"/>
    <mergeCell ref="AW112:AX113"/>
    <mergeCell ref="AY112:AZ113"/>
    <mergeCell ref="BA112:BB113"/>
    <mergeCell ref="C113:K113"/>
    <mergeCell ref="L113:O113"/>
    <mergeCell ref="P113:AB113"/>
    <mergeCell ref="AC113:AF113"/>
    <mergeCell ref="AG113:AJ113"/>
    <mergeCell ref="P102:BB110"/>
    <mergeCell ref="C103:K110"/>
    <mergeCell ref="A111:B111"/>
    <mergeCell ref="C111:K111"/>
    <mergeCell ref="L111:AJ111"/>
    <mergeCell ref="AK111:AL111"/>
    <mergeCell ref="AM111:AN111"/>
    <mergeCell ref="AO111:AP111"/>
    <mergeCell ref="AQ111:AR111"/>
    <mergeCell ref="AS111:AT111"/>
    <mergeCell ref="AU111:AV111"/>
    <mergeCell ref="AW111:AX111"/>
    <mergeCell ref="AY111:AZ111"/>
    <mergeCell ref="BA111:BB111"/>
    <mergeCell ref="AW99:AX99"/>
    <mergeCell ref="AY99:AZ99"/>
    <mergeCell ref="BA99:BB99"/>
    <mergeCell ref="A100:B110"/>
    <mergeCell ref="C100:F100"/>
    <mergeCell ref="H100:K100"/>
    <mergeCell ref="L100:O100"/>
    <mergeCell ref="P100:AJ100"/>
    <mergeCell ref="AK100:AL101"/>
    <mergeCell ref="AM100:AN101"/>
    <mergeCell ref="AO100:AP101"/>
    <mergeCell ref="AQ100:AR101"/>
    <mergeCell ref="AS100:AT101"/>
    <mergeCell ref="AU100:AV101"/>
    <mergeCell ref="AW100:AX101"/>
    <mergeCell ref="AY100:AZ101"/>
    <mergeCell ref="BA100:BB101"/>
    <mergeCell ref="C101:K101"/>
    <mergeCell ref="L101:O101"/>
    <mergeCell ref="P101:AB101"/>
    <mergeCell ref="AC101:AF101"/>
    <mergeCell ref="AG101:AJ101"/>
    <mergeCell ref="C102:K102"/>
    <mergeCell ref="L102:O110"/>
    <mergeCell ref="A99:B99"/>
    <mergeCell ref="C99:K99"/>
    <mergeCell ref="L99:AJ99"/>
    <mergeCell ref="AK99:AL99"/>
    <mergeCell ref="AM99:AN99"/>
    <mergeCell ref="AO99:AP99"/>
    <mergeCell ref="AQ99:AR99"/>
    <mergeCell ref="AS99:AT99"/>
    <mergeCell ref="AU99:AV99"/>
    <mergeCell ref="A88:B98"/>
    <mergeCell ref="C88:F88"/>
    <mergeCell ref="H88:K88"/>
    <mergeCell ref="L88:O88"/>
    <mergeCell ref="P88:AJ88"/>
    <mergeCell ref="AK88:AL89"/>
    <mergeCell ref="AM88:AN89"/>
    <mergeCell ref="AO88:AP89"/>
    <mergeCell ref="AQ88:AR89"/>
    <mergeCell ref="C90:K90"/>
    <mergeCell ref="L90:O98"/>
    <mergeCell ref="P90:BB98"/>
    <mergeCell ref="C91:K98"/>
    <mergeCell ref="AS88:AT89"/>
    <mergeCell ref="AU88:AV89"/>
    <mergeCell ref="AW88:AX89"/>
    <mergeCell ref="AY88:AZ89"/>
    <mergeCell ref="BA88:BB89"/>
    <mergeCell ref="C89:K89"/>
    <mergeCell ref="L89:O89"/>
    <mergeCell ref="P89:AB89"/>
    <mergeCell ref="AC89:AF89"/>
    <mergeCell ref="AG89:AJ89"/>
    <mergeCell ref="P78:BB86"/>
    <mergeCell ref="C79:K86"/>
    <mergeCell ref="A87:B87"/>
    <mergeCell ref="C87:K87"/>
    <mergeCell ref="L87:AJ87"/>
    <mergeCell ref="AK87:AL87"/>
    <mergeCell ref="AM87:AN87"/>
    <mergeCell ref="AO87:AP87"/>
    <mergeCell ref="AQ87:AR87"/>
    <mergeCell ref="AS87:AT87"/>
    <mergeCell ref="AU87:AV87"/>
    <mergeCell ref="AW87:AX87"/>
    <mergeCell ref="AY87:AZ87"/>
    <mergeCell ref="BA87:BB87"/>
    <mergeCell ref="AW75:AX75"/>
    <mergeCell ref="AY75:AZ75"/>
    <mergeCell ref="BA75:BB75"/>
    <mergeCell ref="A76:B86"/>
    <mergeCell ref="C76:F76"/>
    <mergeCell ref="H76:K76"/>
    <mergeCell ref="L76:O76"/>
    <mergeCell ref="P76:AJ76"/>
    <mergeCell ref="AK76:AL77"/>
    <mergeCell ref="AM76:AN77"/>
    <mergeCell ref="AO76:AP77"/>
    <mergeCell ref="AQ76:AR77"/>
    <mergeCell ref="AS76:AT77"/>
    <mergeCell ref="AU76:AV77"/>
    <mergeCell ref="AW76:AX77"/>
    <mergeCell ref="AY76:AZ77"/>
    <mergeCell ref="BA76:BB77"/>
    <mergeCell ref="C77:K77"/>
    <mergeCell ref="L77:O77"/>
    <mergeCell ref="P77:AB77"/>
    <mergeCell ref="AC77:AF77"/>
    <mergeCell ref="AG77:AJ77"/>
    <mergeCell ref="C78:K78"/>
    <mergeCell ref="L78:O86"/>
    <mergeCell ref="A75:B75"/>
    <mergeCell ref="C75:K75"/>
    <mergeCell ref="L75:AJ75"/>
    <mergeCell ref="AK75:AL75"/>
    <mergeCell ref="AM75:AN75"/>
    <mergeCell ref="AO75:AP75"/>
    <mergeCell ref="AQ75:AR75"/>
    <mergeCell ref="AS75:AT75"/>
    <mergeCell ref="AU75:AV75"/>
    <mergeCell ref="A64:B74"/>
    <mergeCell ref="C64:F64"/>
    <mergeCell ref="H64:K64"/>
    <mergeCell ref="L64:O64"/>
    <mergeCell ref="P64:AJ64"/>
    <mergeCell ref="AK64:AL65"/>
    <mergeCell ref="AM64:AN65"/>
    <mergeCell ref="AO64:AP65"/>
    <mergeCell ref="AQ64:AR65"/>
    <mergeCell ref="C66:K66"/>
    <mergeCell ref="L66:O74"/>
    <mergeCell ref="P66:BB74"/>
    <mergeCell ref="C67:K74"/>
    <mergeCell ref="AS64:AT65"/>
    <mergeCell ref="AU64:AV65"/>
    <mergeCell ref="AW64:AX65"/>
    <mergeCell ref="AY64:AZ65"/>
    <mergeCell ref="BA64:BB65"/>
    <mergeCell ref="C65:K65"/>
    <mergeCell ref="L65:O65"/>
    <mergeCell ref="P65:AB65"/>
    <mergeCell ref="AC65:AF65"/>
    <mergeCell ref="AG65:AJ65"/>
    <mergeCell ref="P54:BB62"/>
    <mergeCell ref="C55:K62"/>
    <mergeCell ref="A63:B63"/>
    <mergeCell ref="C63:K63"/>
    <mergeCell ref="L63:AJ63"/>
    <mergeCell ref="AK63:AL63"/>
    <mergeCell ref="AM63:AN63"/>
    <mergeCell ref="AO63:AP63"/>
    <mergeCell ref="AQ63:AR63"/>
    <mergeCell ref="AS63:AT63"/>
    <mergeCell ref="AU63:AV63"/>
    <mergeCell ref="AW63:AX63"/>
    <mergeCell ref="AY63:AZ63"/>
    <mergeCell ref="BA63:BB63"/>
    <mergeCell ref="AW51:AX51"/>
    <mergeCell ref="AY51:AZ51"/>
    <mergeCell ref="BA51:BB51"/>
    <mergeCell ref="A52:B62"/>
    <mergeCell ref="C52:F52"/>
    <mergeCell ref="H52:K52"/>
    <mergeCell ref="L52:O52"/>
    <mergeCell ref="P52:AJ52"/>
    <mergeCell ref="AK52:AL53"/>
    <mergeCell ref="AM52:AN53"/>
    <mergeCell ref="AO52:AP53"/>
    <mergeCell ref="AQ52:AR53"/>
    <mergeCell ref="AS52:AT53"/>
    <mergeCell ref="AU52:AV53"/>
    <mergeCell ref="AW52:AX53"/>
    <mergeCell ref="AY52:AZ53"/>
    <mergeCell ref="BA52:BB53"/>
    <mergeCell ref="C53:K53"/>
    <mergeCell ref="L53:O53"/>
    <mergeCell ref="P53:AB53"/>
    <mergeCell ref="AC53:AF53"/>
    <mergeCell ref="AG53:AJ53"/>
    <mergeCell ref="C54:K54"/>
    <mergeCell ref="L54:O62"/>
    <mergeCell ref="A51:B51"/>
    <mergeCell ref="C51:K51"/>
    <mergeCell ref="L51:AJ51"/>
    <mergeCell ref="AK51:AL51"/>
    <mergeCell ref="AM51:AN51"/>
    <mergeCell ref="AO51:AP51"/>
    <mergeCell ref="AQ51:AR51"/>
    <mergeCell ref="AS51:AT51"/>
    <mergeCell ref="AU51:AV51"/>
    <mergeCell ref="A40:B50"/>
    <mergeCell ref="C40:F40"/>
    <mergeCell ref="H40:K40"/>
    <mergeCell ref="L40:O40"/>
    <mergeCell ref="P40:AJ40"/>
    <mergeCell ref="AK40:AL41"/>
    <mergeCell ref="AM40:AN41"/>
    <mergeCell ref="AO40:AP41"/>
    <mergeCell ref="AQ40:AR41"/>
    <mergeCell ref="C42:K42"/>
    <mergeCell ref="L42:O50"/>
    <mergeCell ref="P42:BB50"/>
    <mergeCell ref="C43:K50"/>
    <mergeCell ref="AS40:AT41"/>
    <mergeCell ref="AU40:AV41"/>
    <mergeCell ref="AW40:AX41"/>
    <mergeCell ref="AY40:AZ41"/>
    <mergeCell ref="BA40:BB41"/>
    <mergeCell ref="C41:K41"/>
    <mergeCell ref="L41:O41"/>
    <mergeCell ref="P41:AB41"/>
    <mergeCell ref="AC41:AF41"/>
    <mergeCell ref="AG41:AJ41"/>
    <mergeCell ref="P30:BB38"/>
    <mergeCell ref="C31:K38"/>
    <mergeCell ref="A39:B39"/>
    <mergeCell ref="C39:K39"/>
    <mergeCell ref="L39:AJ39"/>
    <mergeCell ref="AK39:AL39"/>
    <mergeCell ref="AM39:AN39"/>
    <mergeCell ref="AO39:AP39"/>
    <mergeCell ref="AQ39:AR39"/>
    <mergeCell ref="AS39:AT39"/>
    <mergeCell ref="AU39:AV39"/>
    <mergeCell ref="AW39:AX39"/>
    <mergeCell ref="AY39:AZ39"/>
    <mergeCell ref="BA39:BB39"/>
    <mergeCell ref="AW27:AX27"/>
    <mergeCell ref="AY27:AZ27"/>
    <mergeCell ref="BA27:BB27"/>
    <mergeCell ref="A28:B38"/>
    <mergeCell ref="C28:F28"/>
    <mergeCell ref="H28:K28"/>
    <mergeCell ref="L28:O28"/>
    <mergeCell ref="P28:AJ28"/>
    <mergeCell ref="AK28:AL29"/>
    <mergeCell ref="AM28:AN29"/>
    <mergeCell ref="AO28:AP29"/>
    <mergeCell ref="AQ28:AR29"/>
    <mergeCell ref="AS28:AT29"/>
    <mergeCell ref="AU28:AV29"/>
    <mergeCell ref="AW28:AX29"/>
    <mergeCell ref="AY28:AZ29"/>
    <mergeCell ref="BA28:BB29"/>
    <mergeCell ref="C29:K29"/>
    <mergeCell ref="L29:O29"/>
    <mergeCell ref="P29:AB29"/>
    <mergeCell ref="AC29:AF29"/>
    <mergeCell ref="AG29:AJ29"/>
    <mergeCell ref="C30:K30"/>
    <mergeCell ref="L30:O38"/>
    <mergeCell ref="A27:B27"/>
    <mergeCell ref="C27:K27"/>
    <mergeCell ref="L27:AJ27"/>
    <mergeCell ref="AK27:AL27"/>
    <mergeCell ref="AM27:AN27"/>
    <mergeCell ref="AO27:AP27"/>
    <mergeCell ref="AQ27:AR27"/>
    <mergeCell ref="AS27:AT27"/>
    <mergeCell ref="AU27:AV27"/>
    <mergeCell ref="H12:J12"/>
    <mergeCell ref="K12:AJ12"/>
    <mergeCell ref="A16:G17"/>
    <mergeCell ref="A18:G19"/>
    <mergeCell ref="A20:G21"/>
    <mergeCell ref="H18:J18"/>
    <mergeCell ref="K18:AJ18"/>
    <mergeCell ref="H19:J19"/>
    <mergeCell ref="K19:AJ19"/>
    <mergeCell ref="H20:J20"/>
    <mergeCell ref="K20:AJ20"/>
    <mergeCell ref="H21:J21"/>
    <mergeCell ref="K21:AJ21"/>
    <mergeCell ref="AM10:AN11"/>
    <mergeCell ref="AO10:AP11"/>
    <mergeCell ref="AQ10:AR11"/>
    <mergeCell ref="AS10:AT11"/>
    <mergeCell ref="AU10:AV11"/>
    <mergeCell ref="AW10:AX11"/>
    <mergeCell ref="AW12:BB13"/>
    <mergeCell ref="BA9:BB9"/>
    <mergeCell ref="BA10:BB11"/>
    <mergeCell ref="A1:BB1"/>
    <mergeCell ref="AE2:BB2"/>
    <mergeCell ref="A3:E3"/>
    <mergeCell ref="F3:W3"/>
    <mergeCell ref="X3:Z3"/>
    <mergeCell ref="A4:E4"/>
    <mergeCell ref="A6:E6"/>
    <mergeCell ref="A10:G11"/>
    <mergeCell ref="H10:J10"/>
    <mergeCell ref="K10:AJ10"/>
    <mergeCell ref="H11:J11"/>
    <mergeCell ref="K11:AJ11"/>
    <mergeCell ref="AA3:AB3"/>
    <mergeCell ref="AA4:AB4"/>
    <mergeCell ref="F5:AB5"/>
    <mergeCell ref="F6:AB6"/>
    <mergeCell ref="AC3:AG6"/>
    <mergeCell ref="AH3:BB6"/>
    <mergeCell ref="F4:W4"/>
    <mergeCell ref="X4:Z4"/>
    <mergeCell ref="A5:E5"/>
    <mergeCell ref="A8:BB8"/>
    <mergeCell ref="A9:AJ9"/>
    <mergeCell ref="AK9:AL9"/>
    <mergeCell ref="AW14:BB15"/>
    <mergeCell ref="A14:G15"/>
    <mergeCell ref="H14:J14"/>
    <mergeCell ref="K14:AJ14"/>
    <mergeCell ref="AW9:AX9"/>
    <mergeCell ref="AY9:AZ9"/>
    <mergeCell ref="AK12:AN13"/>
    <mergeCell ref="AO12:AR13"/>
    <mergeCell ref="AU9:AV9"/>
    <mergeCell ref="AM9:AN9"/>
    <mergeCell ref="AY10:AZ11"/>
    <mergeCell ref="AO9:AP9"/>
    <mergeCell ref="AQ9:AR9"/>
    <mergeCell ref="AS9:AT9"/>
    <mergeCell ref="H15:J15"/>
    <mergeCell ref="K15:AJ15"/>
    <mergeCell ref="AS14:AV15"/>
    <mergeCell ref="AO14:AR15"/>
    <mergeCell ref="AK14:AN15"/>
    <mergeCell ref="A12:G13"/>
    <mergeCell ref="H13:J13"/>
    <mergeCell ref="K13:AJ13"/>
    <mergeCell ref="AS12:AV13"/>
    <mergeCell ref="AK10:AL11"/>
    <mergeCell ref="A24:G24"/>
    <mergeCell ref="H24:AJ24"/>
    <mergeCell ref="A26:BB26"/>
    <mergeCell ref="AK16:BB16"/>
    <mergeCell ref="AK17:BB21"/>
    <mergeCell ref="H16:J16"/>
    <mergeCell ref="K16:AJ16"/>
    <mergeCell ref="H17:J17"/>
    <mergeCell ref="K17:AJ17"/>
    <mergeCell ref="A22:G22"/>
    <mergeCell ref="H22:AJ22"/>
    <mergeCell ref="A23:G23"/>
    <mergeCell ref="H23:AJ23"/>
  </mergeCells>
  <phoneticPr fontId="2"/>
  <dataValidations count="2">
    <dataValidation type="list" allowBlank="1" showInputMessage="1" showErrorMessage="1" sqref="AU289 AW289 AY289 AK10 AM10 BA289 AK289 AO289 AM289 AK14:BB15 AM28 AK28 AS28 AU28 AW28 AY28 BA28 AO28 AQ28 AM40 AK40 AS40 AU40 AW40 AY40 BA40 AO40 AQ40 AM52 AQ52 AS52 AU52 AW52 AY52 BA52 AK52 AO52 AQ64 AS64 AU64 AW64 AY64 BA64 AK64 AO64 AM64 AQ76 AS76 AU76 AW76 AY76 BA76 AK76 AO76 AM76 AQ88 AS88 AU88 AW88 AY88 BA88 AK88 AO88 AM88 AQ100 AS100 AU100 AW100 AY100 BA100 AK100 AO100 AM100 AQ112 AS112 AU112 AW112 AY112 BA112 AK112 AO112 AM112 AQ124 AS124 AU124 AW124 AY124 BA124 AK124 AO124 AM124 AQ136 AS136 AU136 AW136 AY136 BA136 AK136 AO136 AM136 AQ148 AS148 AU148 AW148 AY148 BA148 AK148 AO148 AM148 AQ160 AS160 AU160 AW160 AY160 BA160 AK160 AO160 AM160 AQ172 AS172 AU172 AW172 AY172 BA172 AK172 AO172 AM172 AQ200 AS200 AU200 AW200 AY200 BA200 AK200 AO200 AM200 AS212 AU212 AW212 AY212 BA212 AK212 AQ212 AO212 AM212 AQ229 AS229 AU229 AW229 AY229 BA229 AK229 AO229 AM229 AQ241 AS241 AU241 AW241 AY241 BA241 AK241 AO241 AM241 AK253 AO253 AS253 AU253 AW253 AY253 BA253 AQ253 AM253 AQ265 AS265 AU265 AW265 AY265 BA265 AO265 AK265 AM265 AQ277 AS277 AU277 AW277 AY277 BA277 AK277 AO277 AM277 AQ289 AS289 AO10 AQ10 AS10 AU10 AW10 AY10 BA10" xr:uid="{06A0517F-B9AE-490F-80A1-B63179B0BCEB}">
      <formula1>"-,◇,〇,◎"</formula1>
    </dataValidation>
    <dataValidation type="list" allowBlank="1" showInputMessage="1" showErrorMessage="1" sqref="AA3:AB3" xr:uid="{6D297065-7256-4C34-B5A2-1B800307EB19}">
      <formula1>"男,女"</formula1>
    </dataValidation>
  </dataValidations>
  <printOptions horizontalCentered="1"/>
  <pageMargins left="0" right="0" top="0" bottom="0" header="0.31496062992125984" footer="0.31496062992125984"/>
  <pageSetup paperSize="9" scale="10" orientation="portrait" r:id="rId1"/>
  <headerFooter>
    <oddFooter>&amp;C&amp;"ＭＳ ゴシック,標準"&amp;8&amp;P /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64b75c-de88-4d9b-8b4b-f063068fba2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679E4CA6675C54193C30E9D70EFF245" ma:contentTypeVersion="10" ma:contentTypeDescription="新しいドキュメントを作成します。" ma:contentTypeScope="" ma:versionID="3c355f49cc6bcfa0686a16d535eb8f70">
  <xsd:schema xmlns:xsd="http://www.w3.org/2001/XMLSchema" xmlns:xs="http://www.w3.org/2001/XMLSchema" xmlns:p="http://schemas.microsoft.com/office/2006/metadata/properties" xmlns:ns2="cf64b75c-de88-4d9b-8b4b-f063068fba20" targetNamespace="http://schemas.microsoft.com/office/2006/metadata/properties" ma:root="true" ma:fieldsID="916cca3e39e252b280241157cf48e006" ns2:_="">
    <xsd:import namespace="cf64b75c-de88-4d9b-8b4b-f063068fba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64b75c-de88-4d9b-8b4b-f063068fba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0b74b8c-f984-4ffd-99e3-30bda0c55bd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AE41E0-BE30-4C1E-9CC0-ED35004ABB36}"/>
</file>

<file path=customXml/itemProps2.xml><?xml version="1.0" encoding="utf-8"?>
<ds:datastoreItem xmlns:ds="http://schemas.openxmlformats.org/officeDocument/2006/customXml" ds:itemID="{951770C5-2423-48D4-AB9F-66AAFB0024BD}"/>
</file>

<file path=customXml/itemProps3.xml><?xml version="1.0" encoding="utf-8"?>
<ds:datastoreItem xmlns:ds="http://schemas.openxmlformats.org/officeDocument/2006/customXml" ds:itemID="{01AD25B3-DDDC-4E5A-9610-613A2C7493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HANYU, Yutaka</dc:creator>
  <cp:keywords/>
  <dc:description/>
  <cp:lastModifiedBy>AVA松山 哲士</cp:lastModifiedBy>
  <cp:revision/>
  <dcterms:created xsi:type="dcterms:W3CDTF">2022-03-06T17:36:49Z</dcterms:created>
  <dcterms:modified xsi:type="dcterms:W3CDTF">2026-06-24T06:47:54Z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0x0101000679E4CA6675C54193C30E9D70EFF245</vt:lpwstr>
  </property>
  <property fmtid="{D5CDD505-2E9C-101B-9397-08002B2CF9AE}" pid="3" name="Order">
    <vt:r8>1400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