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95" yWindow="0" windowWidth="15480" windowHeight="9120"/>
  </bookViews>
  <sheets>
    <sheet name="KAN" sheetId="1" r:id="rId1"/>
  </sheets>
  <calcPr calcId="144525"/>
</workbook>
</file>

<file path=xl/calcChain.xml><?xml version="1.0" encoding="utf-8"?>
<calcChain xmlns="http://schemas.openxmlformats.org/spreadsheetml/2006/main">
  <c r="AU35" i="1" l="1"/>
  <c r="AZ4" i="1"/>
  <c r="AW4" i="1"/>
  <c r="BB59" i="1"/>
  <c r="BB61" i="1"/>
  <c r="BB72" i="1"/>
  <c r="BB33" i="1"/>
  <c r="BB31" i="1"/>
  <c r="BB82" i="1"/>
  <c r="BB84" i="1"/>
  <c r="AQ4" i="1"/>
  <c r="AU88" i="1"/>
  <c r="BB80" i="1"/>
  <c r="BB57" i="1"/>
  <c r="BB55" i="1"/>
  <c r="BB53" i="1"/>
  <c r="BB51" i="1"/>
  <c r="BB49" i="1"/>
  <c r="BB47" i="1"/>
  <c r="BB45" i="1"/>
  <c r="BB43" i="1"/>
  <c r="BB29" i="1"/>
  <c r="AD91" i="1" l="1"/>
  <c r="X91" i="1"/>
  <c r="AU64" i="1"/>
  <c r="E91" i="1"/>
  <c r="BB25" i="1"/>
  <c r="BB74" i="1"/>
  <c r="E38" i="1"/>
  <c r="X38" i="1"/>
  <c r="AD38" i="1"/>
  <c r="E39" i="1"/>
  <c r="BB78" i="1"/>
  <c r="BB76" i="1"/>
  <c r="AQ38" i="1"/>
  <c r="BB27" i="1"/>
  <c r="E67" i="1"/>
  <c r="X67" i="1"/>
  <c r="AD67" i="1"/>
  <c r="AW67" i="1" l="1"/>
  <c r="AQ91" i="1"/>
  <c r="AQ67" i="1"/>
  <c r="AZ91" i="1" l="1"/>
  <c r="AW91" i="1"/>
  <c r="AW38" i="1"/>
  <c r="AZ38" i="1" l="1"/>
  <c r="AZ67" i="1"/>
</calcChain>
</file>

<file path=xl/sharedStrings.xml><?xml version="1.0" encoding="utf-8"?>
<sst xmlns="http://schemas.openxmlformats.org/spreadsheetml/2006/main" count="361" uniqueCount="221">
  <si>
    <t>年齢</t>
  </si>
  <si>
    <t>フリガナ</t>
  </si>
  <si>
    <t>性別</t>
  </si>
  <si>
    <t>生年月日</t>
  </si>
  <si>
    <t>歳</t>
  </si>
  <si>
    <t>年</t>
  </si>
  <si>
    <t>ヶ月</t>
  </si>
  <si>
    <t>氏名</t>
  </si>
  <si>
    <t>№</t>
  </si>
  <si>
    <t>機種名</t>
  </si>
  <si>
    <t>開発言語</t>
  </si>
  <si>
    <t>業種</t>
  </si>
  <si>
    <t>システム名</t>
  </si>
  <si>
    <t>経験
年数</t>
  </si>
  <si>
    <t>担当業務</t>
  </si>
  <si>
    <t>備考（ユーザー名)</t>
  </si>
  <si>
    <t>～</t>
  </si>
  <si>
    <t>業　務　経　歴　書</t>
  </si>
  <si>
    <t>業  務  経  歴  書</t>
  </si>
  <si>
    <t>現</t>
  </si>
  <si>
    <t>在</t>
  </si>
  <si>
    <t>開始年月～終了年月</t>
  </si>
  <si>
    <t>作業
月数</t>
  </si>
  <si>
    <t>DB/DC名</t>
  </si>
  <si>
    <t>作業工程</t>
  </si>
  <si>
    <t>OS名</t>
  </si>
  <si>
    <t>処理形態</t>
  </si>
  <si>
    <t>現住所</t>
  </si>
  <si>
    <t>最寄駅</t>
  </si>
  <si>
    <t>電話</t>
  </si>
  <si>
    <t>最終学歴</t>
  </si>
  <si>
    <t>国立旭川工業高等専門学校</t>
  </si>
  <si>
    <t>学科　　学部</t>
  </si>
  <si>
    <t>電気工学科</t>
  </si>
  <si>
    <t>卒業年月</t>
  </si>
  <si>
    <t>年</t>
  </si>
  <si>
    <t>担当業務</t>
  </si>
  <si>
    <t>機種名</t>
  </si>
  <si>
    <t>OS名</t>
  </si>
  <si>
    <t>開発言語</t>
  </si>
  <si>
    <t>処理形態</t>
  </si>
  <si>
    <t>DB/DC名</t>
  </si>
  <si>
    <t>作業工程</t>
  </si>
  <si>
    <t>開始年月～終了年月</t>
  </si>
  <si>
    <t>作業
月数</t>
  </si>
  <si>
    <t>業種</t>
  </si>
  <si>
    <t>システム名</t>
  </si>
  <si>
    <t>ｵﾝﾗｲﾝ</t>
  </si>
  <si>
    <t>備考（ユーザー名)</t>
  </si>
  <si>
    <t>ｼｽﾃﾑ分析・基本設計支援</t>
  </si>
  <si>
    <t>№</t>
  </si>
  <si>
    <t>C</t>
  </si>
  <si>
    <t>衛星追跡管制ｼｽﾃﾑ</t>
  </si>
  <si>
    <t>ｼｽﾃﾑ分析・ｼｽﾃﾑ設計</t>
  </si>
  <si>
    <t>ｼｽﾃﾑ設計・基本設計・運用テスト</t>
  </si>
  <si>
    <t>公共放送</t>
  </si>
  <si>
    <t xml:space="preserve">BS-3地球局 </t>
  </si>
  <si>
    <t>ｽﾍﾟｰｽﾌﾘｰﾌﾗｲﾔｰ（SFU)運用管制ｼｽﾃﾑ</t>
  </si>
  <si>
    <t>SFU運用管制ｼｽﾃﾑ</t>
  </si>
  <si>
    <t>放送衛星3号(BS-3)ﾃﾞｰﾀ解析ｼｽﾃﾑ</t>
  </si>
  <si>
    <t>宇宙ｽﾃｰｼｮﾝ実験ﾓｼﾞｭｰﾙ(JEM)運用管制ｼｽﾃﾑ検討(業務委託)</t>
  </si>
  <si>
    <t>ｼｽﾃﾑ分析・ｼｽﾃﾑ設計・基本設計</t>
  </si>
  <si>
    <t>衛星間通信実験ｼｽﾃﾑ(COMETS)ﾃﾞｰﾀ通信回線</t>
  </si>
  <si>
    <t>NTTドコモ(株)</t>
  </si>
  <si>
    <t>NEC DBMS</t>
  </si>
  <si>
    <t>公共通信</t>
  </si>
  <si>
    <t>フリガナ</t>
  </si>
  <si>
    <t>性別</t>
  </si>
  <si>
    <t>男</t>
  </si>
  <si>
    <t>生年月日</t>
  </si>
  <si>
    <t>氏名</t>
  </si>
  <si>
    <t>IPSCPｼｽﾃﾑ</t>
  </si>
  <si>
    <t>京急線・黄金町駅</t>
  </si>
  <si>
    <t>ANAシステムズ(株)</t>
  </si>
  <si>
    <t>Panasonicオートモーティブ＆インダストリアルシステムズ社</t>
  </si>
  <si>
    <t>空港</t>
  </si>
  <si>
    <t>自動車</t>
  </si>
  <si>
    <t>Sun Microsystems</t>
  </si>
  <si>
    <t>UNIX
Solaris</t>
  </si>
  <si>
    <t>菅　雄二</t>
  </si>
  <si>
    <t>CiRCUSシステム</t>
  </si>
  <si>
    <t>Linux
HP-UX</t>
  </si>
  <si>
    <t>HP</t>
  </si>
  <si>
    <t>バッチ</t>
  </si>
  <si>
    <t>移動機SIMでのデグレード試験
既存サーバの商用調査解析
商用調査ツールの作成</t>
  </si>
  <si>
    <t>Oracle</t>
  </si>
  <si>
    <t>Linux</t>
  </si>
  <si>
    <t>車載システム</t>
  </si>
  <si>
    <t>宇宙開発</t>
  </si>
  <si>
    <t>NMSCPｼｽﾃﾑ</t>
  </si>
  <si>
    <t xml:space="preserve">
NECRutil(aTCA)
NECTiger-eye
</t>
  </si>
  <si>
    <t>LINUX CGE3.1
CGE6.0</t>
  </si>
  <si>
    <t>NEC
61Σ</t>
  </si>
  <si>
    <t>D2,UNIX</t>
  </si>
  <si>
    <t>業  務  経  歴  書</t>
  </si>
  <si>
    <t>フリガナ</t>
  </si>
  <si>
    <t>年齢</t>
  </si>
  <si>
    <t>歳</t>
  </si>
  <si>
    <t>経験
年数</t>
  </si>
  <si>
    <t>ヶ月</t>
  </si>
  <si>
    <t>№</t>
  </si>
  <si>
    <t>HP
HP1000</t>
  </si>
  <si>
    <t>UNIX</t>
  </si>
  <si>
    <t>C</t>
  </si>
  <si>
    <t>ｵﾝﾗｲﾝ</t>
  </si>
  <si>
    <t>～</t>
  </si>
  <si>
    <t>NEC 
EWS4800</t>
  </si>
  <si>
    <t>UNIX</t>
  </si>
  <si>
    <t>C</t>
  </si>
  <si>
    <t>ﾊﾞｯﾁ</t>
  </si>
  <si>
    <t>～</t>
  </si>
  <si>
    <t>国立研究機関</t>
  </si>
  <si>
    <t>C-shell
C</t>
  </si>
  <si>
    <t>C
C++</t>
  </si>
  <si>
    <t>横浜市西区</t>
  </si>
  <si>
    <t>C</t>
    <phoneticPr fontId="1"/>
  </si>
  <si>
    <t>MS Visual Studio</t>
    <phoneticPr fontId="1"/>
  </si>
  <si>
    <t>車載用自動運転システムの試作開発</t>
    <rPh sb="0" eb="2">
      <t>シャサイ</t>
    </rPh>
    <rPh sb="2" eb="3">
      <t>ヨウ</t>
    </rPh>
    <rPh sb="12" eb="14">
      <t>シサク</t>
    </rPh>
    <phoneticPr fontId="1"/>
  </si>
  <si>
    <t>車載用ドライバソフトのﾌﾟﾛｸﾞﾗﾐﾝｸﾞ、単体テスト
HMI画面設計の基本設計</t>
    <phoneticPr fontId="1"/>
  </si>
  <si>
    <t>詳細設計、ﾌﾟﾛｸﾞﾗﾐﾝｸﾞ、単体テスト</t>
    <rPh sb="0" eb="2">
      <t>ショウサイ</t>
    </rPh>
    <rPh sb="2" eb="4">
      <t>セッケイ</t>
    </rPh>
    <phoneticPr fontId="1"/>
  </si>
  <si>
    <t>車載自動運転システム</t>
    <phoneticPr fontId="1"/>
  </si>
  <si>
    <t>制御地図DB</t>
    <rPh sb="0" eb="2">
      <t>セイギョ</t>
    </rPh>
    <rPh sb="2" eb="4">
      <t>チズ</t>
    </rPh>
    <phoneticPr fontId="1"/>
  </si>
  <si>
    <t>MPU</t>
    <phoneticPr fontId="1"/>
  </si>
  <si>
    <t>LTE/5G無線基地局システム</t>
    <rPh sb="6" eb="8">
      <t>ムセン</t>
    </rPh>
    <rPh sb="8" eb="11">
      <t>キチキョク</t>
    </rPh>
    <phoneticPr fontId="1"/>
  </si>
  <si>
    <t>NTTドコモ(株)</t>
    <phoneticPr fontId="1"/>
  </si>
  <si>
    <t>Linux
MW(OPF)</t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</si>
  <si>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</si>
  <si>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</si>
  <si>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</si>
  <si>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</si>
  <si>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</si>
  <si>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16</t>
    <phoneticPr fontId="1"/>
  </si>
  <si>
    <t>17</t>
    <phoneticPr fontId="1"/>
  </si>
  <si>
    <t>18</t>
    <phoneticPr fontId="1"/>
  </si>
  <si>
    <t>宇宙ｽﾃｰｼｮﾝ・JEM</t>
    <phoneticPr fontId="1"/>
  </si>
  <si>
    <t>ｼｽﾃﾑ分析・ｼｽﾃﾑ設計・基本設計・プロポーザル作成</t>
    <phoneticPr fontId="1"/>
  </si>
  <si>
    <t>国内線航空系業務・予解約システム</t>
    <phoneticPr fontId="1"/>
  </si>
  <si>
    <t>詳細設計、ﾌﾟﾛｸﾞﾗﾐﾝｸﾞ、単体テスト</t>
    <phoneticPr fontId="1"/>
  </si>
  <si>
    <t>JAXA(筑波宇宙ｾﾝﾀｰ）</t>
    <phoneticPr fontId="1"/>
  </si>
  <si>
    <t>車載システム組込系ソフトウェア開発支援</t>
    <phoneticPr fontId="1"/>
  </si>
  <si>
    <t>ホスト用G/Wのソフトウェア開発支援</t>
    <phoneticPr fontId="1"/>
  </si>
  <si>
    <t>高密度BDE装置</t>
    <rPh sb="0" eb="3">
      <t>コウミツド</t>
    </rPh>
    <rPh sb="6" eb="8">
      <t>ソウチ</t>
    </rPh>
    <phoneticPr fontId="1"/>
  </si>
  <si>
    <t>eNBの機能設計/詳細設計、ﾌﾟﾛｸﾞﾗﾐﾝｸﾞ、単体テスト、結合テスト、実機単体テスト
gNBの結合テスト</t>
    <rPh sb="9" eb="11">
      <t>ショウサイ</t>
    </rPh>
    <rPh sb="11" eb="13">
      <t>セッケイ</t>
    </rPh>
    <rPh sb="31" eb="33">
      <t>ケツゴウ</t>
    </rPh>
    <rPh sb="37" eb="39">
      <t>ジッキ</t>
    </rPh>
    <rPh sb="39" eb="41">
      <t>タンタイ</t>
    </rPh>
    <phoneticPr fontId="1"/>
  </si>
  <si>
    <t>PCRF/DRA装置</t>
    <rPh sb="8" eb="10">
      <t>ソウチ</t>
    </rPh>
    <phoneticPr fontId="1"/>
  </si>
  <si>
    <t>EPC関連ノード</t>
    <rPh sb="3" eb="5">
      <t>カンレン</t>
    </rPh>
    <phoneticPr fontId="1"/>
  </si>
  <si>
    <t>PCRF/DRAの基本設計/機能設計/詳細設計、ﾌﾟﾛｸﾞﾗﾐﾝｸﾞ、単体テスト、結合テスト、総合テスト</t>
    <rPh sb="9" eb="13">
      <t>キホンセッケイ</t>
    </rPh>
    <rPh sb="19" eb="21">
      <t>ショウサイ</t>
    </rPh>
    <rPh sb="21" eb="23">
      <t>セッケイ</t>
    </rPh>
    <rPh sb="41" eb="43">
      <t>ケツゴウ</t>
    </rPh>
    <rPh sb="47" eb="49">
      <t>ソウゴウ</t>
    </rPh>
    <phoneticPr fontId="1"/>
  </si>
  <si>
    <t>19</t>
    <phoneticPr fontId="1"/>
  </si>
  <si>
    <t>NTTコミュニケーション(株)</t>
    <phoneticPr fontId="1"/>
  </si>
  <si>
    <t>次世代PCRF</t>
    <rPh sb="0" eb="3">
      <t>ジセダイ</t>
    </rPh>
    <phoneticPr fontId="1"/>
  </si>
  <si>
    <t>C
C++
Java</t>
    <phoneticPr fontId="1"/>
  </si>
  <si>
    <t>mongo</t>
    <phoneticPr fontId="1"/>
  </si>
  <si>
    <t>次世代PCRFの総合テスト</t>
    <rPh sb="0" eb="3">
      <t>ジセダイ</t>
    </rPh>
    <phoneticPr fontId="1"/>
  </si>
  <si>
    <t>コンボAMF/SMF</t>
    <phoneticPr fontId="1"/>
  </si>
  <si>
    <t>某通信キャリア</t>
    <rPh sb="0" eb="1">
      <t>ボウ</t>
    </rPh>
    <rPh sb="1" eb="3">
      <t>ツウシン</t>
    </rPh>
    <phoneticPr fontId="1"/>
  </si>
  <si>
    <t>EPC/5GC関連ノード</t>
    <rPh sb="7" eb="9">
      <t>カンレン</t>
    </rPh>
    <phoneticPr fontId="1"/>
  </si>
  <si>
    <t>コンボAMF/SMFの総合テスト</t>
    <rPh sb="11" eb="13">
      <t>ソウゴウ</t>
    </rPh>
    <phoneticPr fontId="1"/>
  </si>
  <si>
    <t>5GC関連ノード</t>
    <rPh sb="3" eb="5">
      <t>カンレン</t>
    </rPh>
    <phoneticPr fontId="1"/>
  </si>
  <si>
    <t>SMF</t>
    <phoneticPr fontId="1"/>
  </si>
  <si>
    <t>Linux
Kubernetes</t>
    <phoneticPr fontId="1"/>
  </si>
  <si>
    <t>Java</t>
    <phoneticPr fontId="1"/>
  </si>
  <si>
    <t>SMFの機能設計/詳細設計、ﾌﾟﾛｸﾞﾗﾐﾝｸﾞ、単体テスト</t>
    <rPh sb="4" eb="6">
      <t>キノウ</t>
    </rPh>
    <rPh sb="6" eb="8">
      <t>セッケイ</t>
    </rPh>
    <rPh sb="9" eb="11">
      <t>ショウサイ</t>
    </rPh>
    <rPh sb="11" eb="13">
      <t>セッケイ</t>
    </rPh>
    <rPh sb="24" eb="27">
      <t>テスト</t>
    </rPh>
    <phoneticPr fontId="1"/>
  </si>
  <si>
    <t>5GC-NF</t>
    <phoneticPr fontId="1"/>
  </si>
  <si>
    <t>radis/mongo</t>
    <phoneticPr fontId="1"/>
  </si>
  <si>
    <t>NFの維持管理(ライフサイクル検証)および総合テスト(性能測定)</t>
    <rPh sb="3" eb="7">
      <t>イジカンリ</t>
    </rPh>
    <rPh sb="15" eb="17">
      <t>ケンショウ</t>
    </rPh>
    <rPh sb="27" eb="29">
      <t>セイノウ</t>
    </rPh>
    <rPh sb="29" eb="31">
      <t>ソクテイ</t>
    </rPh>
    <phoneticPr fontId="1"/>
  </si>
  <si>
    <t>CSIP関連ノード</t>
    <rPh sb="4" eb="6">
      <t>カンレン</t>
    </rPh>
    <phoneticPr fontId="1"/>
  </si>
  <si>
    <t>CSIP/vIGN</t>
    <phoneticPr fontId="1"/>
  </si>
  <si>
    <t>vIGN基本設計/機能設計/詳細設計、ﾌﾟﾛｸﾞﾗﾐﾝｸﾞ、単体テスト、結合テスト、総合テスト</t>
    <rPh sb="4" eb="8">
      <t>キホンセッケイ</t>
    </rPh>
    <rPh sb="14" eb="16">
      <t>ショウサイ</t>
    </rPh>
    <rPh sb="16" eb="18">
      <t>セッケイ</t>
    </rPh>
    <rPh sb="36" eb="38">
      <t>ケツゴウ</t>
    </rPh>
    <rPh sb="42" eb="44">
      <t>ソウゴウ</t>
    </rPh>
    <phoneticPr fontId="1"/>
  </si>
  <si>
    <t>10</t>
    <phoneticPr fontId="1"/>
  </si>
  <si>
    <t>衛星放送局</t>
    <rPh sb="0" eb="2">
      <t>エイセイ</t>
    </rPh>
    <rPh sb="2" eb="4">
      <t>ホウソウ</t>
    </rPh>
    <rPh sb="4" eb="5">
      <t>キョク</t>
    </rPh>
    <phoneticPr fontId="1"/>
  </si>
  <si>
    <t>3</t>
    <phoneticPr fontId="1"/>
  </si>
  <si>
    <t>4</t>
    <phoneticPr fontId="1"/>
  </si>
  <si>
    <t>財団法人</t>
    <phoneticPr fontId="1"/>
  </si>
  <si>
    <t>5</t>
    <phoneticPr fontId="1"/>
  </si>
  <si>
    <t>6</t>
    <phoneticPr fontId="1"/>
  </si>
  <si>
    <t>7</t>
    <phoneticPr fontId="1"/>
  </si>
  <si>
    <t>8</t>
    <phoneticPr fontId="1"/>
  </si>
  <si>
    <t>9</t>
    <phoneticPr fontId="1"/>
  </si>
  <si>
    <t>OKIソフトウェア(株)</t>
  </si>
  <si>
    <t>Windows</t>
  </si>
  <si>
    <t>MS
Visual Studio</t>
  </si>
  <si>
    <t>GUI画面設計の基本設計</t>
  </si>
  <si>
    <t>ANA国内空港管理ｼｽﾃﾑ</t>
  </si>
  <si>
    <t>製薬物流管理システム更改</t>
  </si>
  <si>
    <t>Windows
MS .NET
MS Visual Studio</t>
  </si>
  <si>
    <t>C
Pro*C
SQL</t>
  </si>
  <si>
    <t>詳細設計、ﾌﾟﾛｸﾞﾗﾐﾝｸﾞ、単体テスト</t>
  </si>
  <si>
    <t>製薬会社</t>
  </si>
  <si>
    <t>物流システム</t>
  </si>
  <si>
    <t>車載システム組込系ソフトウェア開発支援</t>
  </si>
  <si>
    <t>M7G</t>
  </si>
  <si>
    <t>20</t>
    <phoneticPr fontId="1"/>
  </si>
  <si>
    <t>21</t>
    <phoneticPr fontId="1"/>
  </si>
  <si>
    <t>22</t>
    <phoneticPr fontId="1"/>
  </si>
  <si>
    <t>某製薬会社</t>
    <rPh sb="1" eb="3">
      <t>セイヤク</t>
    </rPh>
    <rPh sb="3" eb="5">
      <t>カイシャ</t>
    </rPh>
    <phoneticPr fontId="1"/>
  </si>
  <si>
    <t>某車載システム会社</t>
    <rPh sb="0" eb="1">
      <t>ボウ</t>
    </rPh>
    <rPh sb="1" eb="3">
      <t>シャサイ</t>
    </rPh>
    <rPh sb="7" eb="9">
      <t>カイシャ</t>
    </rPh>
    <phoneticPr fontId="1"/>
  </si>
  <si>
    <t>某自動車系会社</t>
    <rPh sb="0" eb="1">
      <t>ボウ</t>
    </rPh>
    <rPh sb="1" eb="4">
      <t>ジドウシャ</t>
    </rPh>
    <rPh sb="4" eb="5">
      <t>ケイ</t>
    </rPh>
    <rPh sb="5" eb="7">
      <t>カイシャ</t>
    </rPh>
    <phoneticPr fontId="1"/>
  </si>
  <si>
    <t>C
C++</t>
    <phoneticPr fontId="1"/>
  </si>
  <si>
    <t>ECU</t>
    <phoneticPr fontId="1"/>
  </si>
  <si>
    <t>車載用機能安全ソフトの要求分析,機能設計,詳細設計,ﾌﾟﾛｸﾞﾗﾐﾝｸﾞ,静的解析,単体テスト,結合テスト</t>
    <rPh sb="0" eb="3">
      <t>シャサイヨウ</t>
    </rPh>
    <rPh sb="3" eb="5">
      <t>キノウ</t>
    </rPh>
    <rPh sb="5" eb="7">
      <t>アンゼン</t>
    </rPh>
    <rPh sb="11" eb="13">
      <t>ヨウキュウ</t>
    </rPh>
    <rPh sb="13" eb="15">
      <t>ブンセキ</t>
    </rPh>
    <rPh sb="16" eb="18">
      <t>キノウ</t>
    </rPh>
    <rPh sb="18" eb="20">
      <t>セッケイ</t>
    </rPh>
    <rPh sb="21" eb="23">
      <t>ショウサイ</t>
    </rPh>
    <rPh sb="23" eb="25">
      <t>セッケイ</t>
    </rPh>
    <rPh sb="36" eb="38">
      <t>カイセキ</t>
    </rPh>
    <rPh sb="38" eb="39">
      <t>、</t>
    </rPh>
    <rPh sb="39" eb="41">
      <t>タンタイ</t>
    </rPh>
    <rPh sb="41" eb="44">
      <t>テスト</t>
    </rPh>
    <rPh sb="47" eb="50">
      <t>テスト</t>
    </rPh>
    <phoneticPr fontId="1"/>
  </si>
  <si>
    <t>技術スキル</t>
    <phoneticPr fontId="1"/>
  </si>
  <si>
    <t>アピールポイント</t>
    <phoneticPr fontId="1"/>
  </si>
  <si>
    <t>TCU</t>
    <phoneticPr fontId="1"/>
  </si>
  <si>
    <t>Linux
Android</t>
    <phoneticPr fontId="1"/>
  </si>
  <si>
    <t>車載CDC用ソフトの維持管理(バグ解析,対策設計,実装,リリース作業,試験)</t>
    <rPh sb="0" eb="2">
      <t>シャサイ</t>
    </rPh>
    <rPh sb="5" eb="6">
      <t>ヨウ</t>
    </rPh>
    <rPh sb="10" eb="12">
      <t>イジ</t>
    </rPh>
    <rPh sb="12" eb="14">
      <t>カンリ</t>
    </rPh>
    <rPh sb="17" eb="19">
      <t>カイセキ</t>
    </rPh>
    <rPh sb="20" eb="22">
      <t>タイサク</t>
    </rPh>
    <rPh sb="22" eb="24">
      <t>セッケイ</t>
    </rPh>
    <rPh sb="25" eb="27">
      <t>ジッソウ</t>
    </rPh>
    <rPh sb="32" eb="34">
      <t>サギョウ</t>
    </rPh>
    <rPh sb="35" eb="37">
      <t>シケン</t>
    </rPh>
    <phoneticPr fontId="1"/>
  </si>
  <si>
    <t>車載CDCシステム維持管理支援</t>
    <rPh sb="13" eb="15">
      <t>シエン</t>
    </rPh>
    <phoneticPr fontId="1"/>
  </si>
  <si>
    <t>車載システム開発支援</t>
    <rPh sb="6" eb="8">
      <t>カイハツ</t>
    </rPh>
    <rPh sb="8" eb="10">
      <t>シエン</t>
    </rPh>
    <phoneticPr fontId="1"/>
  </si>
  <si>
    <t>キャリア系ノード開発(NMSCP)</t>
    <phoneticPr fontId="1"/>
  </si>
  <si>
    <t>キャリア系ノード開発(IPSCP)</t>
    <phoneticPr fontId="1"/>
  </si>
  <si>
    <t>搭乗受付カウンターの次期係員端末(Windows)のGUI画面設計</t>
    <phoneticPr fontId="1"/>
  </si>
  <si>
    <t xml:space="preserve">キャリア系ノード開発(5GC-NF)維持管理支援 </t>
    <rPh sb="18" eb="22">
      <t>イジカンリ</t>
    </rPh>
    <phoneticPr fontId="1"/>
  </si>
  <si>
    <t xml:space="preserve">キャリア系ノード開発(vIGN)開発支援 </t>
    <rPh sb="16" eb="18">
      <t>カイハツ</t>
    </rPh>
    <phoneticPr fontId="1"/>
  </si>
  <si>
    <t xml:space="preserve">キャリア系ノード開発(SMF)開発支援 </t>
    <rPh sb="15" eb="17">
      <t>カイハツ</t>
    </rPh>
    <phoneticPr fontId="1"/>
  </si>
  <si>
    <t xml:space="preserve">キャリア系ノード開発(AMF/SMF)開発支援 </t>
    <rPh sb="8" eb="10">
      <t>カイハツ</t>
    </rPh>
    <rPh sb="19" eb="21">
      <t>カイハツ</t>
    </rPh>
    <phoneticPr fontId="1"/>
  </si>
  <si>
    <t xml:space="preserve">キャリア系ノード開発(PCRF)開発支援 </t>
    <rPh sb="16" eb="18">
      <t>カイハツ</t>
    </rPh>
    <phoneticPr fontId="1"/>
  </si>
  <si>
    <t>LTE開発(eNB)開発作業</t>
    <rPh sb="10" eb="12">
      <t>カイハツ</t>
    </rPh>
    <phoneticPr fontId="1"/>
  </si>
  <si>
    <t>キャリア系ノード開発サーバ(Sync)維持管理</t>
    <phoneticPr fontId="1"/>
  </si>
  <si>
    <t>・プロトコル:
 TCP/IP,UDP,SIP,Diameter,Radius,
 http,rest,CAN
・OS：
 Linux,CGL(Red Hat Linux), Ubuntu,Android
・OPF：
 NEC系MW,VisualStadio,仮想化
・言語：
 Ｃ,Ｃ++,Java,Pro*C
・DB：
 Oracle,mongo
・管理ツール:
 SVN,Git,Jira,Confluence,NextDesign
 Teams,Visual Studio</t>
    <rPh sb="177" eb="179">
      <t>カンリ</t>
    </rPh>
    <phoneticPr fontId="1"/>
  </si>
  <si>
    <t>1</t>
    <phoneticPr fontId="1"/>
  </si>
  <si>
    <t>2</t>
    <phoneticPr fontId="1"/>
  </si>
  <si>
    <t>＜ウォーターフォール開発＞
　・通信系分野では過去3G/4G/5Gコアネットワーク系ノード開発17年以上、
　　4G/5G基地局系ノード開発(eNB/gNB)2年。
　・自動車分野では、車載機器・自動運転の製品開および(直近)車載ソフトウェアの維持管理の経験あり。
　・物流分野では在庫管理など小規模なソフト開発の経験あり。
＜スクラム開発＞
　・セントラルECUの車載ソフトウェア開発の経験あり。
・現在まで、ほぼ一貫して組み込み系APLのソフトウェア開発に携わってきた。
・上流工程(要件定義)から製造(FD/DD/MK/UT)～試験(IT,SIT)までこなす。
・チーム内ではサブリーダーを務めた事もあり、客先との技術折衝もこなし、スケジュール立案・管理なども行う。
・何事にも基本を大切にし、几帳面、粘り強く事物に当たることを宗としています。</t>
    <rPh sb="110" eb="112">
      <t>チョッキン</t>
    </rPh>
    <rPh sb="113" eb="115">
      <t>_x0000_n_x0002__x0005_</t>
    </rPh>
    <rPh sb="115" eb="117">
      <t/>
    </rPh>
    <phoneticPr fontId="1"/>
  </si>
  <si>
    <t>Ｙ・Ｋ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</si>
</sst>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[$-411]ge\.mm\.dd"/>
    <numFmt numFmtId="177" formatCode="[$-411]gggee&quot;年&quot;mm&quot;月&quot;dd&quot;日&quot;"/>
    <numFmt numFmtId="178" formatCode="[$-411]gee\.mm"/>
    <numFmt numFmtId="179" formatCode="00_ "/>
    <numFmt numFmtId="180" formatCode="00"/>
  </numFmts>
  <fonts count="30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b/>
      <u/>
      <sz val="20"/>
      <name val="ＭＳ 明朝"/>
      <family val="1"/>
      <charset val="128"/>
    </font>
    <font>
      <b/>
      <sz val="20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.5"/>
      <name val="ＭＳ 明朝"/>
      <family val="1"/>
      <charset val="128"/>
    </font>
    <font>
      <sz val="9.5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8"/>
      <color rgb="FF435369"/>
      <name val="ＭＳ Ｐゴシック"/>
      <family val="3"/>
      <charset val="128"/>
    </font>
    <font>
      <sz val="11"/>
      <color rgb="FF9C6500"/>
      <name val="ＭＳ Ｐゴシック"/>
      <family val="3"/>
      <charset val="128"/>
    </font>
    <font>
      <sz val="11"/>
      <color rgb="FFFA7D00"/>
      <name val="ＭＳ Ｐゴシック"/>
      <family val="3"/>
      <charset val="128"/>
    </font>
    <font>
      <sz val="11"/>
      <color rgb="FF9C0006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</font>
    <font>
      <b/>
      <sz val="15"/>
      <color rgb="FF435369"/>
      <name val="ＭＳ Ｐゴシック"/>
      <family val="3"/>
      <charset val="128"/>
    </font>
    <font>
      <b/>
      <sz val="13"/>
      <color rgb="FF435369"/>
      <name val="ＭＳ Ｐゴシック"/>
      <family val="3"/>
      <charset val="128"/>
    </font>
    <font>
      <b/>
      <sz val="11"/>
      <color rgb="FF435369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</font>
    <font>
      <sz val="11"/>
      <color rgb="FF3F3F76"/>
      <name val="ＭＳ Ｐゴシック"/>
      <family val="3"/>
      <charset val="128"/>
    </font>
    <font>
      <sz val="11"/>
      <color rgb="FF006100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EEAF6"/>
      </patternFill>
    </fill>
    <fill>
      <patternFill patternType="solid">
        <fgColor rgb="FFFBE4D5"/>
      </patternFill>
    </fill>
    <fill>
      <patternFill patternType="solid">
        <fgColor rgb="FFEDEDED"/>
      </patternFill>
    </fill>
    <fill>
      <patternFill patternType="solid">
        <fgColor rgb="FFFFF2CB"/>
      </patternFill>
    </fill>
    <fill>
      <patternFill patternType="solid">
        <fgColor rgb="FFD9E3F3"/>
      </patternFill>
    </fill>
    <fill>
      <patternFill patternType="solid">
        <fgColor rgb="FFE2EFD9"/>
      </patternFill>
    </fill>
    <fill>
      <patternFill patternType="solid">
        <fgColor rgb="FFBED7EE"/>
      </patternFill>
    </fill>
    <fill>
      <patternFill patternType="solid">
        <fgColor rgb="FFF7CAAC"/>
      </patternFill>
    </fill>
    <fill>
      <patternFill patternType="solid">
        <fgColor rgb="FFDBDBDB"/>
      </patternFill>
    </fill>
    <fill>
      <patternFill patternType="solid">
        <fgColor rgb="FFFFE598"/>
      </patternFill>
    </fill>
    <fill>
      <patternFill patternType="solid">
        <fgColor rgb="FFB4C7E7"/>
      </patternFill>
    </fill>
    <fill>
      <patternFill patternType="solid">
        <fgColor rgb="FFC5E0B3"/>
      </patternFill>
    </fill>
    <fill>
      <patternFill patternType="solid">
        <fgColor rgb="FF9DC3E5"/>
      </patternFill>
    </fill>
    <fill>
      <patternFill patternType="solid">
        <fgColor rgb="FFF4B083"/>
      </patternFill>
    </fill>
    <fill>
      <patternFill patternType="solid">
        <fgColor rgb="FFC9C9C9"/>
      </patternFill>
    </fill>
    <fill>
      <patternFill patternType="solid">
        <fgColor rgb="FFFFD865"/>
      </patternFill>
    </fill>
    <fill>
      <patternFill patternType="solid">
        <fgColor rgb="FF8FABDB"/>
      </patternFill>
    </fill>
    <fill>
      <patternFill patternType="solid">
        <fgColor rgb="FFA8D08E"/>
      </patternFill>
    </fill>
    <fill>
      <patternFill patternType="solid">
        <fgColor rgb="FF5C9BD5"/>
      </patternFill>
    </fill>
    <fill>
      <patternFill patternType="solid">
        <fgColor rgb="FFED7B30"/>
      </patternFill>
    </fill>
    <fill>
      <patternFill patternType="solid">
        <fgColor rgb="FFA5A5A5"/>
      </patternFill>
    </fill>
    <fill>
      <patternFill patternType="solid">
        <fgColor rgb="FFFFBF00"/>
      </patternFill>
    </fill>
    <fill>
      <patternFill patternType="solid">
        <fgColor rgb="FF4473C4"/>
      </patternFill>
    </fill>
    <fill>
      <patternFill patternType="solid">
        <fgColor rgb="FF70AD46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5C9BD5"/>
      </bottom>
      <diagonal/>
    </border>
    <border>
      <left/>
      <right/>
      <top/>
      <bottom style="thick">
        <color rgb="FFADCDEA"/>
      </bottom>
      <diagonal/>
    </border>
    <border>
      <left/>
      <right/>
      <top/>
      <bottom style="medium">
        <color rgb="FF9DC3E5"/>
      </bottom>
      <diagonal/>
    </border>
    <border>
      <left/>
      <right/>
      <top style="thin">
        <color rgb="FF5C9BD5"/>
      </top>
      <bottom style="double">
        <color rgb="FF5C9BD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24" borderId="15" applyNumberForma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0" fillId="29" borderId="16" applyNumberFormat="0" applyFon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1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27" fillId="31" borderId="23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8" fillId="32" borderId="18" applyNumberFormat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3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8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3" xfId="0" applyFont="1" applyBorder="1" applyAlignment="1"/>
    <xf numFmtId="0" fontId="8" fillId="0" borderId="7" xfId="0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5" xfId="0" applyNumberFormat="1" applyFont="1" applyFill="1" applyBorder="1" applyAlignment="1">
      <alignment horizontal="left" vertical="center" wrapText="1"/>
    </xf>
    <xf numFmtId="49" fontId="8" fillId="2" borderId="6" xfId="0" applyNumberFormat="1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178" fontId="8" fillId="0" borderId="8" xfId="0" applyNumberFormat="1" applyFont="1" applyBorder="1" applyAlignment="1">
      <alignment horizontal="center" vertical="center"/>
    </xf>
    <xf numFmtId="178" fontId="8" fillId="0" borderId="5" xfId="0" applyNumberFormat="1" applyFont="1" applyBorder="1" applyAlignment="1">
      <alignment horizontal="center" vertical="center"/>
    </xf>
    <xf numFmtId="178" fontId="8" fillId="0" borderId="9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178" fontId="8" fillId="0" borderId="7" xfId="0" applyNumberFormat="1" applyFont="1" applyBorder="1" applyAlignment="1">
      <alignment horizontal="center" vertical="center"/>
    </xf>
    <xf numFmtId="49" fontId="8" fillId="2" borderId="9" xfId="0" applyNumberFormat="1" applyFont="1" applyFill="1" applyBorder="1" applyAlignment="1">
      <alignment horizontal="left" vertical="center"/>
    </xf>
    <xf numFmtId="49" fontId="8" fillId="2" borderId="3" xfId="0" applyNumberFormat="1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49" fontId="8" fillId="0" borderId="8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8" fillId="34" borderId="8" xfId="0" applyFont="1" applyFill="1" applyBorder="1" applyAlignment="1">
      <alignment horizontal="left" vertical="center" wrapText="1"/>
    </xf>
    <xf numFmtId="0" fontId="8" fillId="34" borderId="5" xfId="0" applyFont="1" applyFill="1" applyBorder="1" applyAlignment="1">
      <alignment horizontal="left" vertical="center" wrapText="1"/>
    </xf>
    <xf numFmtId="0" fontId="8" fillId="34" borderId="6" xfId="0" applyFont="1" applyFill="1" applyBorder="1" applyAlignment="1">
      <alignment horizontal="left" vertical="center" wrapText="1"/>
    </xf>
    <xf numFmtId="0" fontId="8" fillId="34" borderId="9" xfId="0" applyFont="1" applyFill="1" applyBorder="1" applyAlignment="1">
      <alignment horizontal="left" vertical="center" wrapText="1"/>
    </xf>
    <xf numFmtId="0" fontId="8" fillId="34" borderId="3" xfId="0" applyFont="1" applyFill="1" applyBorder="1" applyAlignment="1">
      <alignment horizontal="left" vertical="center" wrapText="1"/>
    </xf>
    <xf numFmtId="0" fontId="8" fillId="34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58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78" fontId="8" fillId="0" borderId="10" xfId="0" applyNumberFormat="1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right"/>
    </xf>
    <xf numFmtId="0" fontId="4" fillId="3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178" fontId="8" fillId="0" borderId="6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34" borderId="8" xfId="0" applyFont="1" applyFill="1" applyBorder="1" applyAlignment="1">
      <alignment horizontal="left" vertical="top" wrapText="1"/>
    </xf>
    <xf numFmtId="0" fontId="2" fillId="34" borderId="5" xfId="0" applyFont="1" applyFill="1" applyBorder="1" applyAlignment="1">
      <alignment horizontal="left" vertical="top" wrapText="1"/>
    </xf>
    <xf numFmtId="0" fontId="2" fillId="34" borderId="14" xfId="0" applyFont="1" applyFill="1" applyBorder="1" applyAlignment="1">
      <alignment horizontal="left" vertical="top" wrapText="1"/>
    </xf>
    <xf numFmtId="0" fontId="2" fillId="34" borderId="0" xfId="0" applyFont="1" applyFill="1" applyAlignment="1">
      <alignment horizontal="left" vertical="top" wrapText="1"/>
    </xf>
    <xf numFmtId="0" fontId="2" fillId="34" borderId="9" xfId="0" applyFont="1" applyFill="1" applyBorder="1" applyAlignment="1">
      <alignment horizontal="left" vertical="top" wrapText="1"/>
    </xf>
    <xf numFmtId="0" fontId="2" fillId="34" borderId="3" xfId="0" applyFont="1" applyFill="1" applyBorder="1" applyAlignment="1">
      <alignment horizontal="left" vertical="top" wrapText="1"/>
    </xf>
    <xf numFmtId="0" fontId="2" fillId="34" borderId="6" xfId="0" applyFont="1" applyFill="1" applyBorder="1" applyAlignment="1">
      <alignment horizontal="left" vertical="top" wrapText="1"/>
    </xf>
    <xf numFmtId="0" fontId="2" fillId="34" borderId="13" xfId="0" applyFont="1" applyFill="1" applyBorder="1" applyAlignment="1">
      <alignment horizontal="left" vertical="top" wrapText="1"/>
    </xf>
    <xf numFmtId="0" fontId="2" fillId="34" borderId="4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14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5" fillId="3" borderId="13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179" fontId="5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8" fontId="11" fillId="0" borderId="2" xfId="0" applyNumberFormat="1" applyFont="1" applyBorder="1" applyAlignment="1">
      <alignment horizontal="center" vertical="center"/>
    </xf>
    <xf numFmtId="178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2" borderId="8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178" fontId="11" fillId="2" borderId="8" xfId="0" applyNumberFormat="1" applyFont="1" applyFill="1" applyBorder="1" applyAlignment="1">
      <alignment horizontal="center" vertical="center"/>
    </xf>
    <xf numFmtId="178" fontId="11" fillId="2" borderId="5" xfId="0" applyNumberFormat="1" applyFont="1" applyFill="1" applyBorder="1" applyAlignment="1">
      <alignment horizontal="center" vertical="center"/>
    </xf>
    <xf numFmtId="178" fontId="11" fillId="2" borderId="9" xfId="0" applyNumberFormat="1" applyFont="1" applyFill="1" applyBorder="1" applyAlignment="1">
      <alignment horizontal="center" vertical="center"/>
    </xf>
    <xf numFmtId="178" fontId="11" fillId="2" borderId="3" xfId="0" applyNumberFormat="1" applyFont="1" applyFill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176" fontId="11" fillId="0" borderId="3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178" fontId="11" fillId="0" borderId="10" xfId="0" applyNumberFormat="1" applyFont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left" vertical="center"/>
    </xf>
    <xf numFmtId="49" fontId="8" fillId="2" borderId="5" xfId="0" applyNumberFormat="1" applyFont="1" applyFill="1" applyBorder="1" applyAlignment="1">
      <alignment horizontal="left" vertical="center"/>
    </xf>
    <xf numFmtId="49" fontId="8" fillId="2" borderId="6" xfId="0" applyNumberFormat="1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18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/>
    </xf>
    <xf numFmtId="49" fontId="2" fillId="3" borderId="12" xfId="0" applyNumberFormat="1" applyFont="1" applyFill="1" applyBorder="1" applyAlignment="1">
      <alignment horizontal="center" vertical="center"/>
    </xf>
    <xf numFmtId="178" fontId="11" fillId="2" borderId="7" xfId="0" applyNumberFormat="1" applyFont="1" applyFill="1" applyBorder="1" applyAlignment="1">
      <alignment horizontal="center" vertical="center"/>
    </xf>
    <xf numFmtId="178" fontId="11" fillId="2" borderId="10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180" fontId="5" fillId="0" borderId="8" xfId="0" applyNumberFormat="1" applyFont="1" applyBorder="1" applyAlignment="1">
      <alignment horizontal="center" vertical="center" wrapText="1"/>
    </xf>
    <xf numFmtId="180" fontId="5" fillId="0" borderId="5" xfId="0" applyNumberFormat="1" applyFont="1" applyBorder="1" applyAlignment="1">
      <alignment horizontal="center" vertical="center" wrapText="1"/>
    </xf>
    <xf numFmtId="180" fontId="5" fillId="0" borderId="9" xfId="0" applyNumberFormat="1" applyFont="1" applyBorder="1" applyAlignment="1">
      <alignment horizontal="center" vertical="center" wrapText="1"/>
    </xf>
    <xf numFmtId="180" fontId="5" fillId="0" borderId="3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49" fontId="8" fillId="0" borderId="8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9" fontId="5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top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045" name="Line 59352">
          <a:extLst>
            <a:ext uri="{FF2B5EF4-FFF2-40B4-BE49-F238E27FC236}">
              <a16:creationId xmlns="" xmlns:a16="http://schemas.microsoft.com/office/drawing/2014/main" id="{7558FE1D-71FC-DB35-25EC-BB7E53EABB73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046" name="Line 59353">
          <a:extLst>
            <a:ext uri="{FF2B5EF4-FFF2-40B4-BE49-F238E27FC236}">
              <a16:creationId xmlns="" xmlns:a16="http://schemas.microsoft.com/office/drawing/2014/main" id="{3BB6B6D3-8F52-407C-2E8A-E00BA81D6B44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049" name="Line 59358">
          <a:extLst>
            <a:ext uri="{FF2B5EF4-FFF2-40B4-BE49-F238E27FC236}">
              <a16:creationId xmlns="" xmlns:a16="http://schemas.microsoft.com/office/drawing/2014/main" id="{135A076E-BC61-632D-41F0-17E313D35082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050" name="Line 59359">
          <a:extLst>
            <a:ext uri="{FF2B5EF4-FFF2-40B4-BE49-F238E27FC236}">
              <a16:creationId xmlns="" xmlns:a16="http://schemas.microsoft.com/office/drawing/2014/main" id="{519CC7A8-9562-3895-84CC-8924AAB972CF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053" name="Line 59364">
          <a:extLst>
            <a:ext uri="{FF2B5EF4-FFF2-40B4-BE49-F238E27FC236}">
              <a16:creationId xmlns="" xmlns:a16="http://schemas.microsoft.com/office/drawing/2014/main" id="{5E92DDEA-D10F-6E6F-8138-DDFB25BEA5BA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054" name="Line 59365">
          <a:extLst>
            <a:ext uri="{FF2B5EF4-FFF2-40B4-BE49-F238E27FC236}">
              <a16:creationId xmlns="" xmlns:a16="http://schemas.microsoft.com/office/drawing/2014/main" id="{86F31A1E-346C-E3E3-49BB-830F22452830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057" name="Line 59370">
          <a:extLst>
            <a:ext uri="{FF2B5EF4-FFF2-40B4-BE49-F238E27FC236}">
              <a16:creationId xmlns="" xmlns:a16="http://schemas.microsoft.com/office/drawing/2014/main" id="{67931E12-D44B-FECF-8BE1-B205B19E570C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058" name="Line 59371">
          <a:extLst>
            <a:ext uri="{FF2B5EF4-FFF2-40B4-BE49-F238E27FC236}">
              <a16:creationId xmlns="" xmlns:a16="http://schemas.microsoft.com/office/drawing/2014/main" id="{8A494B39-C64C-258D-CA34-32C177984202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061" name="Line 59376">
          <a:extLst>
            <a:ext uri="{FF2B5EF4-FFF2-40B4-BE49-F238E27FC236}">
              <a16:creationId xmlns="" xmlns:a16="http://schemas.microsoft.com/office/drawing/2014/main" id="{6A95EEB2-EED6-BE9B-DE41-6B417C0C5E19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062" name="Line 59377">
          <a:extLst>
            <a:ext uri="{FF2B5EF4-FFF2-40B4-BE49-F238E27FC236}">
              <a16:creationId xmlns="" xmlns:a16="http://schemas.microsoft.com/office/drawing/2014/main" id="{2C4531E5-CD48-1204-8DCA-1BB0BC1EF0A1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065" name="Line 59382">
          <a:extLst>
            <a:ext uri="{FF2B5EF4-FFF2-40B4-BE49-F238E27FC236}">
              <a16:creationId xmlns="" xmlns:a16="http://schemas.microsoft.com/office/drawing/2014/main" id="{35D93166-7DA0-512E-E89D-8399854B07BF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066" name="Line 59383">
          <a:extLst>
            <a:ext uri="{FF2B5EF4-FFF2-40B4-BE49-F238E27FC236}">
              <a16:creationId xmlns="" xmlns:a16="http://schemas.microsoft.com/office/drawing/2014/main" id="{D5710F32-7A45-FA66-633B-1B1162492E5C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073" name="Line 59394">
          <a:extLst>
            <a:ext uri="{FF2B5EF4-FFF2-40B4-BE49-F238E27FC236}">
              <a16:creationId xmlns="" xmlns:a16="http://schemas.microsoft.com/office/drawing/2014/main" id="{364C35BB-2922-9768-ADBC-D5431C7998E7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074" name="Line 59395">
          <a:extLst>
            <a:ext uri="{FF2B5EF4-FFF2-40B4-BE49-F238E27FC236}">
              <a16:creationId xmlns="" xmlns:a16="http://schemas.microsoft.com/office/drawing/2014/main" id="{00B56D10-E267-66D1-C134-62422C05B920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079" name="Line 59414">
          <a:extLst>
            <a:ext uri="{FF2B5EF4-FFF2-40B4-BE49-F238E27FC236}">
              <a16:creationId xmlns="" xmlns:a16="http://schemas.microsoft.com/office/drawing/2014/main" id="{B5FBBC37-5488-FE10-B6B8-357A49AA07E9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080" name="Line 59415">
          <a:extLst>
            <a:ext uri="{FF2B5EF4-FFF2-40B4-BE49-F238E27FC236}">
              <a16:creationId xmlns="" xmlns:a16="http://schemas.microsoft.com/office/drawing/2014/main" id="{E820B6DD-6DD1-8E41-F9F7-06C9AC646468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085" name="Line 59434">
          <a:extLst>
            <a:ext uri="{FF2B5EF4-FFF2-40B4-BE49-F238E27FC236}">
              <a16:creationId xmlns="" xmlns:a16="http://schemas.microsoft.com/office/drawing/2014/main" id="{516DF2A6-C8AC-F7A8-B1A6-9ABDFDE6ADDB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086" name="Line 59435">
          <a:extLst>
            <a:ext uri="{FF2B5EF4-FFF2-40B4-BE49-F238E27FC236}">
              <a16:creationId xmlns="" xmlns:a16="http://schemas.microsoft.com/office/drawing/2014/main" id="{17771938-8890-5E55-FD55-83B144023353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091" name="Line 59454">
          <a:extLst>
            <a:ext uri="{FF2B5EF4-FFF2-40B4-BE49-F238E27FC236}">
              <a16:creationId xmlns="" xmlns:a16="http://schemas.microsoft.com/office/drawing/2014/main" id="{54EB420A-41FE-878F-47FB-F381D80A355E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092" name="Line 59455">
          <a:extLst>
            <a:ext uri="{FF2B5EF4-FFF2-40B4-BE49-F238E27FC236}">
              <a16:creationId xmlns="" xmlns:a16="http://schemas.microsoft.com/office/drawing/2014/main" id="{A4E8092A-B443-328F-B5F7-2EB93A4F5BF7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097" name="Line 59474">
          <a:extLst>
            <a:ext uri="{FF2B5EF4-FFF2-40B4-BE49-F238E27FC236}">
              <a16:creationId xmlns="" xmlns:a16="http://schemas.microsoft.com/office/drawing/2014/main" id="{9504A114-5933-96CE-FAE3-0E5BA903324B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098" name="Line 59475">
          <a:extLst>
            <a:ext uri="{FF2B5EF4-FFF2-40B4-BE49-F238E27FC236}">
              <a16:creationId xmlns="" xmlns:a16="http://schemas.microsoft.com/office/drawing/2014/main" id="{E5056F75-2D45-FBBF-769D-25B0C1D19714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03" name="Line 59494">
          <a:extLst>
            <a:ext uri="{FF2B5EF4-FFF2-40B4-BE49-F238E27FC236}">
              <a16:creationId xmlns="" xmlns:a16="http://schemas.microsoft.com/office/drawing/2014/main" id="{8CBC382E-DB18-047F-67B2-14B015A8A363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04" name="Line 59495">
          <a:extLst>
            <a:ext uri="{FF2B5EF4-FFF2-40B4-BE49-F238E27FC236}">
              <a16:creationId xmlns="" xmlns:a16="http://schemas.microsoft.com/office/drawing/2014/main" id="{A9C4E93E-388A-5BF6-AA48-22C3C0B5706B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105" name="Line 59514">
          <a:extLst>
            <a:ext uri="{FF2B5EF4-FFF2-40B4-BE49-F238E27FC236}">
              <a16:creationId xmlns="" xmlns:a16="http://schemas.microsoft.com/office/drawing/2014/main" id="{1F759484-2234-03A4-F623-7912497E73BD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106" name="Line 59515">
          <a:extLst>
            <a:ext uri="{FF2B5EF4-FFF2-40B4-BE49-F238E27FC236}">
              <a16:creationId xmlns="" xmlns:a16="http://schemas.microsoft.com/office/drawing/2014/main" id="{E040412C-8A61-AED9-7E94-E22450514D2E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109" name="Line 59520">
          <a:extLst>
            <a:ext uri="{FF2B5EF4-FFF2-40B4-BE49-F238E27FC236}">
              <a16:creationId xmlns="" xmlns:a16="http://schemas.microsoft.com/office/drawing/2014/main" id="{2AF54138-A1C6-4CCA-5DE9-F219A4B05A0E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110" name="Line 59521">
          <a:extLst>
            <a:ext uri="{FF2B5EF4-FFF2-40B4-BE49-F238E27FC236}">
              <a16:creationId xmlns="" xmlns:a16="http://schemas.microsoft.com/office/drawing/2014/main" id="{200A073A-5689-5474-D0FE-189E97615452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113" name="Line 59526">
          <a:extLst>
            <a:ext uri="{FF2B5EF4-FFF2-40B4-BE49-F238E27FC236}">
              <a16:creationId xmlns="" xmlns:a16="http://schemas.microsoft.com/office/drawing/2014/main" id="{092C31F4-4A92-3444-A702-D581D270FEDB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114" name="Line 59527">
          <a:extLst>
            <a:ext uri="{FF2B5EF4-FFF2-40B4-BE49-F238E27FC236}">
              <a16:creationId xmlns="" xmlns:a16="http://schemas.microsoft.com/office/drawing/2014/main" id="{3385B0BF-DA0D-0E5A-0274-A7C042A0158E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117" name="Line 59532">
          <a:extLst>
            <a:ext uri="{FF2B5EF4-FFF2-40B4-BE49-F238E27FC236}">
              <a16:creationId xmlns="" xmlns:a16="http://schemas.microsoft.com/office/drawing/2014/main" id="{9C1B8F35-174E-1749-99BD-4C0D5E664BD6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118" name="Line 59533">
          <a:extLst>
            <a:ext uri="{FF2B5EF4-FFF2-40B4-BE49-F238E27FC236}">
              <a16:creationId xmlns="" xmlns:a16="http://schemas.microsoft.com/office/drawing/2014/main" id="{9312FD00-B6AA-4789-B17E-BF23AAF9F08A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121" name="Line 59538">
          <a:extLst>
            <a:ext uri="{FF2B5EF4-FFF2-40B4-BE49-F238E27FC236}">
              <a16:creationId xmlns="" xmlns:a16="http://schemas.microsoft.com/office/drawing/2014/main" id="{92F722F1-BCAC-600F-3AFE-73C8A0C4F530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122" name="Line 59539">
          <a:extLst>
            <a:ext uri="{FF2B5EF4-FFF2-40B4-BE49-F238E27FC236}">
              <a16:creationId xmlns="" xmlns:a16="http://schemas.microsoft.com/office/drawing/2014/main" id="{C66F092A-FE08-3197-D4E4-67F7561C306D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124125" name="Line 59544">
          <a:extLst>
            <a:ext uri="{FF2B5EF4-FFF2-40B4-BE49-F238E27FC236}">
              <a16:creationId xmlns="" xmlns:a16="http://schemas.microsoft.com/office/drawing/2014/main" id="{53FE4C94-19A6-2317-23E7-21284661982E}"/>
            </a:ext>
          </a:extLst>
        </xdr:cNvPr>
        <xdr:cNvSpPr>
          <a:spLocks noChangeShapeType="1"/>
        </xdr:cNvSpPr>
      </xdr:nvSpPr>
      <xdr:spPr bwMode="auto">
        <a:xfrm>
          <a:off x="292100" y="31813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23</xdr:row>
      <xdr:rowOff>57150</xdr:rowOff>
    </xdr:from>
    <xdr:to>
      <xdr:col>5</xdr:col>
      <xdr:colOff>6350</xdr:colOff>
      <xdr:row>24</xdr:row>
      <xdr:rowOff>0</xdr:rowOff>
    </xdr:to>
    <xdr:sp macro="" textlink="">
      <xdr:nvSpPr>
        <xdr:cNvPr id="124126" name="Line 59545">
          <a:extLst>
            <a:ext uri="{FF2B5EF4-FFF2-40B4-BE49-F238E27FC236}">
              <a16:creationId xmlns="" xmlns:a16="http://schemas.microsoft.com/office/drawing/2014/main" id="{CB560F72-320E-4B85-B064-EE2B9DBC4764}"/>
            </a:ext>
          </a:extLst>
        </xdr:cNvPr>
        <xdr:cNvSpPr>
          <a:spLocks noChangeShapeType="1"/>
        </xdr:cNvSpPr>
      </xdr:nvSpPr>
      <xdr:spPr bwMode="auto">
        <a:xfrm>
          <a:off x="927100" y="32385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69" name="Line 59635">
          <a:extLst>
            <a:ext uri="{FF2B5EF4-FFF2-40B4-BE49-F238E27FC236}">
              <a16:creationId xmlns="" xmlns:a16="http://schemas.microsoft.com/office/drawing/2014/main" id="{BB36651D-C892-3FFF-D60F-38A2DAF5D2B8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70" name="Line 59636">
          <a:extLst>
            <a:ext uri="{FF2B5EF4-FFF2-40B4-BE49-F238E27FC236}">
              <a16:creationId xmlns="" xmlns:a16="http://schemas.microsoft.com/office/drawing/2014/main" id="{4246E2EC-F30D-1D69-63EF-E9329AB2A804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71" name="Line 59637">
          <a:extLst>
            <a:ext uri="{FF2B5EF4-FFF2-40B4-BE49-F238E27FC236}">
              <a16:creationId xmlns="" xmlns:a16="http://schemas.microsoft.com/office/drawing/2014/main" id="{7177C29B-A791-B0BF-CD45-4BB2388AA1C4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72" name="Line 59638">
          <a:extLst>
            <a:ext uri="{FF2B5EF4-FFF2-40B4-BE49-F238E27FC236}">
              <a16:creationId xmlns="" xmlns:a16="http://schemas.microsoft.com/office/drawing/2014/main" id="{D6AC3F3C-618B-9159-50C4-DF682D5503C7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73" name="Line 59639">
          <a:extLst>
            <a:ext uri="{FF2B5EF4-FFF2-40B4-BE49-F238E27FC236}">
              <a16:creationId xmlns="" xmlns:a16="http://schemas.microsoft.com/office/drawing/2014/main" id="{5854982C-1597-35FF-911B-2FD5C9BEA2C1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74" name="Line 59640">
          <a:extLst>
            <a:ext uri="{FF2B5EF4-FFF2-40B4-BE49-F238E27FC236}">
              <a16:creationId xmlns="" xmlns:a16="http://schemas.microsoft.com/office/drawing/2014/main" id="{79605D54-033D-EE67-C41C-2F3CD2F85B1F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75" name="Line 59641">
          <a:extLst>
            <a:ext uri="{FF2B5EF4-FFF2-40B4-BE49-F238E27FC236}">
              <a16:creationId xmlns="" xmlns:a16="http://schemas.microsoft.com/office/drawing/2014/main" id="{21260051-A5E4-6DA2-F2C7-9B57B4EE9BAA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76" name="Line 59642">
          <a:extLst>
            <a:ext uri="{FF2B5EF4-FFF2-40B4-BE49-F238E27FC236}">
              <a16:creationId xmlns="" xmlns:a16="http://schemas.microsoft.com/office/drawing/2014/main" id="{8F2DE1AF-C083-91F8-F6B5-FDA61A66E256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77" name="Line 59643">
          <a:extLst>
            <a:ext uri="{FF2B5EF4-FFF2-40B4-BE49-F238E27FC236}">
              <a16:creationId xmlns="" xmlns:a16="http://schemas.microsoft.com/office/drawing/2014/main" id="{22EE46F4-0E42-3666-6387-70E5C2E0D243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78" name="Line 59644">
          <a:extLst>
            <a:ext uri="{FF2B5EF4-FFF2-40B4-BE49-F238E27FC236}">
              <a16:creationId xmlns="" xmlns:a16="http://schemas.microsoft.com/office/drawing/2014/main" id="{A37995A7-38F5-5B0C-CEA4-7DD246164525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79" name="Line 59645">
          <a:extLst>
            <a:ext uri="{FF2B5EF4-FFF2-40B4-BE49-F238E27FC236}">
              <a16:creationId xmlns="" xmlns:a16="http://schemas.microsoft.com/office/drawing/2014/main" id="{CFED8AB1-5603-36A1-0286-C17E35C83DB4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80" name="Line 59646">
          <a:extLst>
            <a:ext uri="{FF2B5EF4-FFF2-40B4-BE49-F238E27FC236}">
              <a16:creationId xmlns="" xmlns:a16="http://schemas.microsoft.com/office/drawing/2014/main" id="{552FABEE-850C-EA1D-8238-C92B606AB123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81" name="Line 59647">
          <a:extLst>
            <a:ext uri="{FF2B5EF4-FFF2-40B4-BE49-F238E27FC236}">
              <a16:creationId xmlns="" xmlns:a16="http://schemas.microsoft.com/office/drawing/2014/main" id="{FC46C268-ACA6-5FAE-A52C-9CB223484E7F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82" name="Line 59648">
          <a:extLst>
            <a:ext uri="{FF2B5EF4-FFF2-40B4-BE49-F238E27FC236}">
              <a16:creationId xmlns="" xmlns:a16="http://schemas.microsoft.com/office/drawing/2014/main" id="{81F30BB2-FF4B-B02E-5DB4-C3C1C3C5CE07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83" name="Line 59649">
          <a:extLst>
            <a:ext uri="{FF2B5EF4-FFF2-40B4-BE49-F238E27FC236}">
              <a16:creationId xmlns="" xmlns:a16="http://schemas.microsoft.com/office/drawing/2014/main" id="{D0FCB691-EBAB-196D-FF83-377982768B6A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84" name="Line 59650">
          <a:extLst>
            <a:ext uri="{FF2B5EF4-FFF2-40B4-BE49-F238E27FC236}">
              <a16:creationId xmlns="" xmlns:a16="http://schemas.microsoft.com/office/drawing/2014/main" id="{C2630363-7F95-EE80-AC7F-87C0B57060E1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85" name="Line 59651">
          <a:extLst>
            <a:ext uri="{FF2B5EF4-FFF2-40B4-BE49-F238E27FC236}">
              <a16:creationId xmlns="" xmlns:a16="http://schemas.microsoft.com/office/drawing/2014/main" id="{F520F939-C1D3-BEBB-2F3F-229DFD362279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86" name="Line 59652">
          <a:extLst>
            <a:ext uri="{FF2B5EF4-FFF2-40B4-BE49-F238E27FC236}">
              <a16:creationId xmlns="" xmlns:a16="http://schemas.microsoft.com/office/drawing/2014/main" id="{19A00845-930B-AF68-A3C4-73C8B4E8F6DF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87" name="Line 59653">
          <a:extLst>
            <a:ext uri="{FF2B5EF4-FFF2-40B4-BE49-F238E27FC236}">
              <a16:creationId xmlns="" xmlns:a16="http://schemas.microsoft.com/office/drawing/2014/main" id="{C5AFABED-8749-34B4-18A2-26EB32F46D10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88" name="Line 59654">
          <a:extLst>
            <a:ext uri="{FF2B5EF4-FFF2-40B4-BE49-F238E27FC236}">
              <a16:creationId xmlns="" xmlns:a16="http://schemas.microsoft.com/office/drawing/2014/main" id="{EF8C7D5D-95C4-8664-A856-D568909AEECA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89" name="Line 59655">
          <a:extLst>
            <a:ext uri="{FF2B5EF4-FFF2-40B4-BE49-F238E27FC236}">
              <a16:creationId xmlns="" xmlns:a16="http://schemas.microsoft.com/office/drawing/2014/main" id="{44A0A9FF-E9D1-7E96-3EAF-AF6855EB14C1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90" name="Line 59656">
          <a:extLst>
            <a:ext uri="{FF2B5EF4-FFF2-40B4-BE49-F238E27FC236}">
              <a16:creationId xmlns="" xmlns:a16="http://schemas.microsoft.com/office/drawing/2014/main" id="{EE266A77-9D88-FDA3-F0B0-0B16F1B53A01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91" name="Line 59657">
          <a:extLst>
            <a:ext uri="{FF2B5EF4-FFF2-40B4-BE49-F238E27FC236}">
              <a16:creationId xmlns="" xmlns:a16="http://schemas.microsoft.com/office/drawing/2014/main" id="{3E85B76A-A464-1C03-7024-1F7948B4E8DC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92" name="Line 59658">
          <a:extLst>
            <a:ext uri="{FF2B5EF4-FFF2-40B4-BE49-F238E27FC236}">
              <a16:creationId xmlns="" xmlns:a16="http://schemas.microsoft.com/office/drawing/2014/main" id="{D7359388-C033-DBB4-7F69-01D81785BF81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93" name="Line 59659">
          <a:extLst>
            <a:ext uri="{FF2B5EF4-FFF2-40B4-BE49-F238E27FC236}">
              <a16:creationId xmlns="" xmlns:a16="http://schemas.microsoft.com/office/drawing/2014/main" id="{6ED09659-63CB-6DEC-06A7-CF5237906E2A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94" name="Line 59660">
          <a:extLst>
            <a:ext uri="{FF2B5EF4-FFF2-40B4-BE49-F238E27FC236}">
              <a16:creationId xmlns="" xmlns:a16="http://schemas.microsoft.com/office/drawing/2014/main" id="{DA966533-E739-08EE-1BAA-188CE3AF4B7E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95" name="Line 59661">
          <a:extLst>
            <a:ext uri="{FF2B5EF4-FFF2-40B4-BE49-F238E27FC236}">
              <a16:creationId xmlns="" xmlns:a16="http://schemas.microsoft.com/office/drawing/2014/main" id="{52C5F920-F44B-F0C4-EA78-C7ACD4B36DF2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96" name="Line 59662">
          <a:extLst>
            <a:ext uri="{FF2B5EF4-FFF2-40B4-BE49-F238E27FC236}">
              <a16:creationId xmlns="" xmlns:a16="http://schemas.microsoft.com/office/drawing/2014/main" id="{052779F6-0B64-ADC1-3B6C-713AA4514C5F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97" name="Line 59663">
          <a:extLst>
            <a:ext uri="{FF2B5EF4-FFF2-40B4-BE49-F238E27FC236}">
              <a16:creationId xmlns="" xmlns:a16="http://schemas.microsoft.com/office/drawing/2014/main" id="{C8A4549E-74CF-0750-442F-98423ECCE603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198" name="Line 59664">
          <a:extLst>
            <a:ext uri="{FF2B5EF4-FFF2-40B4-BE49-F238E27FC236}">
              <a16:creationId xmlns="" xmlns:a16="http://schemas.microsoft.com/office/drawing/2014/main" id="{D9FC40FC-40D7-C90E-76A9-61650BD9E402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199" name="Line 59665">
          <a:extLst>
            <a:ext uri="{FF2B5EF4-FFF2-40B4-BE49-F238E27FC236}">
              <a16:creationId xmlns="" xmlns:a16="http://schemas.microsoft.com/office/drawing/2014/main" id="{74AC399B-0D82-2B4F-2DCF-CC28C88331F7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200" name="Line 59666">
          <a:extLst>
            <a:ext uri="{FF2B5EF4-FFF2-40B4-BE49-F238E27FC236}">
              <a16:creationId xmlns="" xmlns:a16="http://schemas.microsoft.com/office/drawing/2014/main" id="{8B2AECEE-83CA-96D6-2459-FB71D8717C8A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201" name="Line 59667">
          <a:extLst>
            <a:ext uri="{FF2B5EF4-FFF2-40B4-BE49-F238E27FC236}">
              <a16:creationId xmlns="" xmlns:a16="http://schemas.microsoft.com/office/drawing/2014/main" id="{AC90458F-7598-51D9-A469-73D129CBBC64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202" name="Line 59668">
          <a:extLst>
            <a:ext uri="{FF2B5EF4-FFF2-40B4-BE49-F238E27FC236}">
              <a16:creationId xmlns="" xmlns:a16="http://schemas.microsoft.com/office/drawing/2014/main" id="{CAA6C6C3-3FBF-020E-7424-9847EA87A814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203" name="Line 59669">
          <a:extLst>
            <a:ext uri="{FF2B5EF4-FFF2-40B4-BE49-F238E27FC236}">
              <a16:creationId xmlns="" xmlns:a16="http://schemas.microsoft.com/office/drawing/2014/main" id="{60A7948B-5044-5B79-C1BA-7399CAEF76FF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204" name="Line 59670">
          <a:extLst>
            <a:ext uri="{FF2B5EF4-FFF2-40B4-BE49-F238E27FC236}">
              <a16:creationId xmlns="" xmlns:a16="http://schemas.microsoft.com/office/drawing/2014/main" id="{206D4B80-0811-215C-C8A1-F8B3FECE9B26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205" name="Line 59671">
          <a:extLst>
            <a:ext uri="{FF2B5EF4-FFF2-40B4-BE49-F238E27FC236}">
              <a16:creationId xmlns="" xmlns:a16="http://schemas.microsoft.com/office/drawing/2014/main" id="{BA92EEEE-FB76-FF00-F40A-7EB566352EF6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206" name="Line 59672">
          <a:extLst>
            <a:ext uri="{FF2B5EF4-FFF2-40B4-BE49-F238E27FC236}">
              <a16:creationId xmlns="" xmlns:a16="http://schemas.microsoft.com/office/drawing/2014/main" id="{53B426D3-5279-8054-4BD0-EE7310A371AB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207" name="Line 59673">
          <a:extLst>
            <a:ext uri="{FF2B5EF4-FFF2-40B4-BE49-F238E27FC236}">
              <a16:creationId xmlns="" xmlns:a16="http://schemas.microsoft.com/office/drawing/2014/main" id="{665ECB86-2DCC-BD9D-8FE0-D7FED996447D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208" name="Line 59674">
          <a:extLst>
            <a:ext uri="{FF2B5EF4-FFF2-40B4-BE49-F238E27FC236}">
              <a16:creationId xmlns="" xmlns:a16="http://schemas.microsoft.com/office/drawing/2014/main" id="{811ADE23-4620-2D1E-4CE9-14FACCAEBD1B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209" name="Line 59675">
          <a:extLst>
            <a:ext uri="{FF2B5EF4-FFF2-40B4-BE49-F238E27FC236}">
              <a16:creationId xmlns="" xmlns:a16="http://schemas.microsoft.com/office/drawing/2014/main" id="{5589AB9E-E5DD-C4C2-05CC-8C615D997AF6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210" name="Line 59676">
          <a:extLst>
            <a:ext uri="{FF2B5EF4-FFF2-40B4-BE49-F238E27FC236}">
              <a16:creationId xmlns="" xmlns:a16="http://schemas.microsoft.com/office/drawing/2014/main" id="{0758858C-4B54-5763-5AB4-17A8C3521422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70</xdr:row>
      <xdr:rowOff>0</xdr:rowOff>
    </xdr:from>
    <xdr:to>
      <xdr:col>11</xdr:col>
      <xdr:colOff>25400</xdr:colOff>
      <xdr:row>70</xdr:row>
      <xdr:rowOff>0</xdr:rowOff>
    </xdr:to>
    <xdr:sp macro="" textlink="">
      <xdr:nvSpPr>
        <xdr:cNvPr id="124211" name="Line 59677">
          <a:extLst>
            <a:ext uri="{FF2B5EF4-FFF2-40B4-BE49-F238E27FC236}">
              <a16:creationId xmlns="" xmlns:a16="http://schemas.microsoft.com/office/drawing/2014/main" id="{0282E095-EABB-E758-D223-FC7C9D8EC3EC}"/>
            </a:ext>
          </a:extLst>
        </xdr:cNvPr>
        <xdr:cNvSpPr>
          <a:spLocks noChangeShapeType="1"/>
        </xdr:cNvSpPr>
      </xdr:nvSpPr>
      <xdr:spPr bwMode="auto">
        <a:xfrm>
          <a:off x="317500" y="164655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31750</xdr:rowOff>
    </xdr:from>
    <xdr:to>
      <xdr:col>5</xdr:col>
      <xdr:colOff>0</xdr:colOff>
      <xdr:row>70</xdr:row>
      <xdr:rowOff>298450</xdr:rowOff>
    </xdr:to>
    <xdr:sp macro="" textlink="">
      <xdr:nvSpPr>
        <xdr:cNvPr id="124212" name="Line 59678">
          <a:extLst>
            <a:ext uri="{FF2B5EF4-FFF2-40B4-BE49-F238E27FC236}">
              <a16:creationId xmlns="" xmlns:a16="http://schemas.microsoft.com/office/drawing/2014/main" id="{9DF0BE95-32CC-1CD3-D2DD-80DD8D3FCB07}"/>
            </a:ext>
          </a:extLst>
        </xdr:cNvPr>
        <xdr:cNvSpPr>
          <a:spLocks noChangeShapeType="1"/>
        </xdr:cNvSpPr>
      </xdr:nvSpPr>
      <xdr:spPr bwMode="auto">
        <a:xfrm>
          <a:off x="920750" y="164973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216" name="Line 59854">
          <a:extLst>
            <a:ext uri="{FF2B5EF4-FFF2-40B4-BE49-F238E27FC236}">
              <a16:creationId xmlns="" xmlns:a16="http://schemas.microsoft.com/office/drawing/2014/main" id="{0A4A9BCB-587D-008A-17BC-1F3219C0EF47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226" name="Line 59874">
          <a:extLst>
            <a:ext uri="{FF2B5EF4-FFF2-40B4-BE49-F238E27FC236}">
              <a16:creationId xmlns="" xmlns:a16="http://schemas.microsoft.com/office/drawing/2014/main" id="{B4482972-1C07-A6DD-0374-838346B990D5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236" name="Line 59894">
          <a:extLst>
            <a:ext uri="{FF2B5EF4-FFF2-40B4-BE49-F238E27FC236}">
              <a16:creationId xmlns="" xmlns:a16="http://schemas.microsoft.com/office/drawing/2014/main" id="{C7C78B98-C711-DCDB-5A5A-0A52CC4B2076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246" name="Line 59914">
          <a:extLst>
            <a:ext uri="{FF2B5EF4-FFF2-40B4-BE49-F238E27FC236}">
              <a16:creationId xmlns="" xmlns:a16="http://schemas.microsoft.com/office/drawing/2014/main" id="{FC8353C4-7BFF-527E-37E2-BE53FA993BBB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256" name="Line 59934">
          <a:extLst>
            <a:ext uri="{FF2B5EF4-FFF2-40B4-BE49-F238E27FC236}">
              <a16:creationId xmlns="" xmlns:a16="http://schemas.microsoft.com/office/drawing/2014/main" id="{B80756A3-0039-09CA-4B31-2ACF5C5A708F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266" name="Line 59954">
          <a:extLst>
            <a:ext uri="{FF2B5EF4-FFF2-40B4-BE49-F238E27FC236}">
              <a16:creationId xmlns="" xmlns:a16="http://schemas.microsoft.com/office/drawing/2014/main" id="{AF1BD040-D0D9-A19F-FEB6-87DCD8648178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277" name="Line 59978">
          <a:extLst>
            <a:ext uri="{FF2B5EF4-FFF2-40B4-BE49-F238E27FC236}">
              <a16:creationId xmlns="" xmlns:a16="http://schemas.microsoft.com/office/drawing/2014/main" id="{6A151F7A-3CB5-3A04-2ECA-B3BBF8A82F47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287" name="Line 59998">
          <a:extLst>
            <a:ext uri="{FF2B5EF4-FFF2-40B4-BE49-F238E27FC236}">
              <a16:creationId xmlns="" xmlns:a16="http://schemas.microsoft.com/office/drawing/2014/main" id="{135DB040-8A94-1CD1-BD28-E3F02B7BD922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297" name="Line 60018">
          <a:extLst>
            <a:ext uri="{FF2B5EF4-FFF2-40B4-BE49-F238E27FC236}">
              <a16:creationId xmlns="" xmlns:a16="http://schemas.microsoft.com/office/drawing/2014/main" id="{281ADD21-353F-0268-D8EE-BC3B36BEE0EF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307" name="Line 60038">
          <a:extLst>
            <a:ext uri="{FF2B5EF4-FFF2-40B4-BE49-F238E27FC236}">
              <a16:creationId xmlns="" xmlns:a16="http://schemas.microsoft.com/office/drawing/2014/main" id="{3E9F6872-B694-484E-458E-76F56C2FEB70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317" name="Line 60058">
          <a:extLst>
            <a:ext uri="{FF2B5EF4-FFF2-40B4-BE49-F238E27FC236}">
              <a16:creationId xmlns="" xmlns:a16="http://schemas.microsoft.com/office/drawing/2014/main" id="{17C88A2C-721D-7A91-4DB4-4B3F09CC1209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6350</xdr:colOff>
      <xdr:row>40</xdr:row>
      <xdr:rowOff>57150</xdr:rowOff>
    </xdr:from>
    <xdr:to>
      <xdr:col>5</xdr:col>
      <xdr:colOff>6350</xdr:colOff>
      <xdr:row>41</xdr:row>
      <xdr:rowOff>0</xdr:rowOff>
    </xdr:to>
    <xdr:sp macro="" textlink="">
      <xdr:nvSpPr>
        <xdr:cNvPr id="124327" name="Line 60078">
          <a:extLst>
            <a:ext uri="{FF2B5EF4-FFF2-40B4-BE49-F238E27FC236}">
              <a16:creationId xmlns="" xmlns:a16="http://schemas.microsoft.com/office/drawing/2014/main" id="{1199D05C-9392-D679-17AF-FF6170636A53}"/>
            </a:ext>
          </a:extLst>
        </xdr:cNvPr>
        <xdr:cNvSpPr>
          <a:spLocks noChangeShapeType="1"/>
        </xdr:cNvSpPr>
      </xdr:nvSpPr>
      <xdr:spPr bwMode="auto">
        <a:xfrm>
          <a:off x="927100" y="96583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165100</xdr:colOff>
      <xdr:row>24</xdr:row>
      <xdr:rowOff>241300</xdr:rowOff>
    </xdr:from>
    <xdr:to>
      <xdr:col>4</xdr:col>
      <xdr:colOff>165100</xdr:colOff>
      <xdr:row>25</xdr:row>
      <xdr:rowOff>184150</xdr:rowOff>
    </xdr:to>
    <xdr:sp macro="" textlink="">
      <xdr:nvSpPr>
        <xdr:cNvPr id="124367" name="Line 60137">
          <a:extLst>
            <a:ext uri="{FF2B5EF4-FFF2-40B4-BE49-F238E27FC236}">
              <a16:creationId xmlns="" xmlns:a16="http://schemas.microsoft.com/office/drawing/2014/main" id="{8C28AE85-51EF-D212-7630-87C9A96F57DD}"/>
            </a:ext>
          </a:extLst>
        </xdr:cNvPr>
        <xdr:cNvSpPr>
          <a:spLocks noChangeShapeType="1"/>
        </xdr:cNvSpPr>
      </xdr:nvSpPr>
      <xdr:spPr bwMode="auto">
        <a:xfrm>
          <a:off x="901700" y="72771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03" name="Line 59407">
          <a:extLst>
            <a:ext uri="{FF2B5EF4-FFF2-40B4-BE49-F238E27FC236}">
              <a16:creationId xmlns="" xmlns:a16="http://schemas.microsoft.com/office/drawing/2014/main" id="{A1861BD6-14E2-5BDF-EDF3-0C7041B58CF1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05" name="Line 59427">
          <a:extLst>
            <a:ext uri="{FF2B5EF4-FFF2-40B4-BE49-F238E27FC236}">
              <a16:creationId xmlns="" xmlns:a16="http://schemas.microsoft.com/office/drawing/2014/main" id="{81DE0EEC-F170-00D3-5385-29D4C680687C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07" name="Line 59447">
          <a:extLst>
            <a:ext uri="{FF2B5EF4-FFF2-40B4-BE49-F238E27FC236}">
              <a16:creationId xmlns="" xmlns:a16="http://schemas.microsoft.com/office/drawing/2014/main" id="{DCE1F06B-6E51-16CA-EDC1-C85F9529B668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09" name="Line 59467">
          <a:extLst>
            <a:ext uri="{FF2B5EF4-FFF2-40B4-BE49-F238E27FC236}">
              <a16:creationId xmlns="" xmlns:a16="http://schemas.microsoft.com/office/drawing/2014/main" id="{8287CB98-1655-8995-05B4-115DCD0450F3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11" name="Line 59487">
          <a:extLst>
            <a:ext uri="{FF2B5EF4-FFF2-40B4-BE49-F238E27FC236}">
              <a16:creationId xmlns="" xmlns:a16="http://schemas.microsoft.com/office/drawing/2014/main" id="{FA3288B1-CD67-3793-5493-4C640329076C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13" name="Line 59509">
          <a:extLst>
            <a:ext uri="{FF2B5EF4-FFF2-40B4-BE49-F238E27FC236}">
              <a16:creationId xmlns="" xmlns:a16="http://schemas.microsoft.com/office/drawing/2014/main" id="{752D23A2-B1B0-3BA7-A709-E27534923559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15" name="Line 59511">
          <a:extLst>
            <a:ext uri="{FF2B5EF4-FFF2-40B4-BE49-F238E27FC236}">
              <a16:creationId xmlns="" xmlns:a16="http://schemas.microsoft.com/office/drawing/2014/main" id="{6447C374-CED1-FDB8-95B1-635D81E16D65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17" name="Line 59513">
          <a:extLst>
            <a:ext uri="{FF2B5EF4-FFF2-40B4-BE49-F238E27FC236}">
              <a16:creationId xmlns="" xmlns:a16="http://schemas.microsoft.com/office/drawing/2014/main" id="{B1D02A2E-CB69-BBD9-92E1-AF459DE57D35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18" name="Line 59407">
          <a:extLst>
            <a:ext uri="{FF2B5EF4-FFF2-40B4-BE49-F238E27FC236}">
              <a16:creationId xmlns="" xmlns:a16="http://schemas.microsoft.com/office/drawing/2014/main" id="{85B5AB6E-D2FB-8B5D-8C4E-E720EF396843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19" name="Line 59427">
          <a:extLst>
            <a:ext uri="{FF2B5EF4-FFF2-40B4-BE49-F238E27FC236}">
              <a16:creationId xmlns="" xmlns:a16="http://schemas.microsoft.com/office/drawing/2014/main" id="{9F0B83EA-EC2E-8CD0-4F2A-DB40AC18BE83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20" name="Line 59447">
          <a:extLst>
            <a:ext uri="{FF2B5EF4-FFF2-40B4-BE49-F238E27FC236}">
              <a16:creationId xmlns="" xmlns:a16="http://schemas.microsoft.com/office/drawing/2014/main" id="{E062A1B4-7A00-D068-CF48-AD95BC444542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21" name="Line 59467">
          <a:extLst>
            <a:ext uri="{FF2B5EF4-FFF2-40B4-BE49-F238E27FC236}">
              <a16:creationId xmlns="" xmlns:a16="http://schemas.microsoft.com/office/drawing/2014/main" id="{9FB443CB-096E-6A01-476D-2ADFE2C1DC97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22" name="Line 59487">
          <a:extLst>
            <a:ext uri="{FF2B5EF4-FFF2-40B4-BE49-F238E27FC236}">
              <a16:creationId xmlns="" xmlns:a16="http://schemas.microsoft.com/office/drawing/2014/main" id="{645DAD2A-86B5-B1FF-F8CA-69A650902637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23" name="Line 59509">
          <a:extLst>
            <a:ext uri="{FF2B5EF4-FFF2-40B4-BE49-F238E27FC236}">
              <a16:creationId xmlns="" xmlns:a16="http://schemas.microsoft.com/office/drawing/2014/main" id="{B911D989-145D-569A-7283-45AD4F6C91D5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24" name="Line 59511">
          <a:extLst>
            <a:ext uri="{FF2B5EF4-FFF2-40B4-BE49-F238E27FC236}">
              <a16:creationId xmlns="" xmlns:a16="http://schemas.microsoft.com/office/drawing/2014/main" id="{8330F7BB-0F5D-AB27-608E-4DE85FEDD9EE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71</xdr:row>
      <xdr:rowOff>0</xdr:rowOff>
    </xdr:from>
    <xdr:to>
      <xdr:col>5</xdr:col>
      <xdr:colOff>0</xdr:colOff>
      <xdr:row>71</xdr:row>
      <xdr:rowOff>0</xdr:rowOff>
    </xdr:to>
    <xdr:sp macro="" textlink="">
      <xdr:nvSpPr>
        <xdr:cNvPr id="124725" name="Line 59513">
          <a:extLst>
            <a:ext uri="{FF2B5EF4-FFF2-40B4-BE49-F238E27FC236}">
              <a16:creationId xmlns="" xmlns:a16="http://schemas.microsoft.com/office/drawing/2014/main" id="{9F9801FF-B810-83D0-EBAA-96CC9C810EC9}"/>
            </a:ext>
          </a:extLst>
        </xdr:cNvPr>
        <xdr:cNvSpPr>
          <a:spLocks noChangeShapeType="1"/>
        </xdr:cNvSpPr>
      </xdr:nvSpPr>
      <xdr:spPr bwMode="auto">
        <a:xfrm>
          <a:off x="920750" y="17176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26" name="Line 59406">
          <a:extLst>
            <a:ext uri="{FF2B5EF4-FFF2-40B4-BE49-F238E27FC236}">
              <a16:creationId xmlns="" xmlns:a16="http://schemas.microsoft.com/office/drawing/2014/main" id="{604ECEDE-5E36-8D31-6BCB-0C8872C29760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38100</xdr:rowOff>
    </xdr:from>
    <xdr:to>
      <xdr:col>5</xdr:col>
      <xdr:colOff>0</xdr:colOff>
      <xdr:row>59</xdr:row>
      <xdr:rowOff>393700</xdr:rowOff>
    </xdr:to>
    <xdr:sp macro="" textlink="">
      <xdr:nvSpPr>
        <xdr:cNvPr id="124727" name="Line 59407">
          <a:extLst>
            <a:ext uri="{FF2B5EF4-FFF2-40B4-BE49-F238E27FC236}">
              <a16:creationId xmlns="" xmlns:a16="http://schemas.microsoft.com/office/drawing/2014/main" id="{9685D412-CF0C-61DB-CAB9-1750FBEFE7E8}"/>
            </a:ext>
          </a:extLst>
        </xdr:cNvPr>
        <xdr:cNvSpPr>
          <a:spLocks noChangeShapeType="1"/>
        </xdr:cNvSpPr>
      </xdr:nvSpPr>
      <xdr:spPr bwMode="auto">
        <a:xfrm>
          <a:off x="920750" y="17786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28" name="Line 59426">
          <a:extLst>
            <a:ext uri="{FF2B5EF4-FFF2-40B4-BE49-F238E27FC236}">
              <a16:creationId xmlns="" xmlns:a16="http://schemas.microsoft.com/office/drawing/2014/main" id="{C78A0249-4DCA-26AA-C3FE-7FDB560C9B2B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38100</xdr:rowOff>
    </xdr:from>
    <xdr:to>
      <xdr:col>5</xdr:col>
      <xdr:colOff>0</xdr:colOff>
      <xdr:row>59</xdr:row>
      <xdr:rowOff>393700</xdr:rowOff>
    </xdr:to>
    <xdr:sp macro="" textlink="">
      <xdr:nvSpPr>
        <xdr:cNvPr id="124729" name="Line 59427">
          <a:extLst>
            <a:ext uri="{FF2B5EF4-FFF2-40B4-BE49-F238E27FC236}">
              <a16:creationId xmlns="" xmlns:a16="http://schemas.microsoft.com/office/drawing/2014/main" id="{9667929D-9C9F-3146-A03E-0BB837FEAA44}"/>
            </a:ext>
          </a:extLst>
        </xdr:cNvPr>
        <xdr:cNvSpPr>
          <a:spLocks noChangeShapeType="1"/>
        </xdr:cNvSpPr>
      </xdr:nvSpPr>
      <xdr:spPr bwMode="auto">
        <a:xfrm>
          <a:off x="920750" y="17786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30" name="Line 59446">
          <a:extLst>
            <a:ext uri="{FF2B5EF4-FFF2-40B4-BE49-F238E27FC236}">
              <a16:creationId xmlns="" xmlns:a16="http://schemas.microsoft.com/office/drawing/2014/main" id="{AC07D55A-25FB-6303-B32F-ED5FD0D735AB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38100</xdr:rowOff>
    </xdr:from>
    <xdr:to>
      <xdr:col>5</xdr:col>
      <xdr:colOff>0</xdr:colOff>
      <xdr:row>59</xdr:row>
      <xdr:rowOff>393700</xdr:rowOff>
    </xdr:to>
    <xdr:sp macro="" textlink="">
      <xdr:nvSpPr>
        <xdr:cNvPr id="124731" name="Line 59447">
          <a:extLst>
            <a:ext uri="{FF2B5EF4-FFF2-40B4-BE49-F238E27FC236}">
              <a16:creationId xmlns="" xmlns:a16="http://schemas.microsoft.com/office/drawing/2014/main" id="{48A31E47-4507-23DD-87A9-578789F1A389}"/>
            </a:ext>
          </a:extLst>
        </xdr:cNvPr>
        <xdr:cNvSpPr>
          <a:spLocks noChangeShapeType="1"/>
        </xdr:cNvSpPr>
      </xdr:nvSpPr>
      <xdr:spPr bwMode="auto">
        <a:xfrm>
          <a:off x="920750" y="17786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32" name="Line 59466">
          <a:extLst>
            <a:ext uri="{FF2B5EF4-FFF2-40B4-BE49-F238E27FC236}">
              <a16:creationId xmlns="" xmlns:a16="http://schemas.microsoft.com/office/drawing/2014/main" id="{B900299D-4AA6-6F01-1128-BF6A8D889047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38100</xdr:rowOff>
    </xdr:from>
    <xdr:to>
      <xdr:col>5</xdr:col>
      <xdr:colOff>0</xdr:colOff>
      <xdr:row>59</xdr:row>
      <xdr:rowOff>393700</xdr:rowOff>
    </xdr:to>
    <xdr:sp macro="" textlink="">
      <xdr:nvSpPr>
        <xdr:cNvPr id="124733" name="Line 59467">
          <a:extLst>
            <a:ext uri="{FF2B5EF4-FFF2-40B4-BE49-F238E27FC236}">
              <a16:creationId xmlns="" xmlns:a16="http://schemas.microsoft.com/office/drawing/2014/main" id="{202D8C04-8CCF-EEB2-4C6E-F69980FC1CF6}"/>
            </a:ext>
          </a:extLst>
        </xdr:cNvPr>
        <xdr:cNvSpPr>
          <a:spLocks noChangeShapeType="1"/>
        </xdr:cNvSpPr>
      </xdr:nvSpPr>
      <xdr:spPr bwMode="auto">
        <a:xfrm>
          <a:off x="920750" y="17786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34" name="Line 59486">
          <a:extLst>
            <a:ext uri="{FF2B5EF4-FFF2-40B4-BE49-F238E27FC236}">
              <a16:creationId xmlns="" xmlns:a16="http://schemas.microsoft.com/office/drawing/2014/main" id="{DFC163EA-3770-C2F0-1382-15DF0AA2D9BD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38100</xdr:rowOff>
    </xdr:from>
    <xdr:to>
      <xdr:col>5</xdr:col>
      <xdr:colOff>0</xdr:colOff>
      <xdr:row>59</xdr:row>
      <xdr:rowOff>393700</xdr:rowOff>
    </xdr:to>
    <xdr:sp macro="" textlink="">
      <xdr:nvSpPr>
        <xdr:cNvPr id="124735" name="Line 59487">
          <a:extLst>
            <a:ext uri="{FF2B5EF4-FFF2-40B4-BE49-F238E27FC236}">
              <a16:creationId xmlns="" xmlns:a16="http://schemas.microsoft.com/office/drawing/2014/main" id="{DD543151-1E8F-B27A-F051-9EF30199BAA2}"/>
            </a:ext>
          </a:extLst>
        </xdr:cNvPr>
        <xdr:cNvSpPr>
          <a:spLocks noChangeShapeType="1"/>
        </xdr:cNvSpPr>
      </xdr:nvSpPr>
      <xdr:spPr bwMode="auto">
        <a:xfrm>
          <a:off x="920750" y="17786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36" name="Line 59508">
          <a:extLst>
            <a:ext uri="{FF2B5EF4-FFF2-40B4-BE49-F238E27FC236}">
              <a16:creationId xmlns="" xmlns:a16="http://schemas.microsoft.com/office/drawing/2014/main" id="{E55059C0-B32C-C691-02E8-84CC55C27430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38100</xdr:rowOff>
    </xdr:from>
    <xdr:to>
      <xdr:col>5</xdr:col>
      <xdr:colOff>0</xdr:colOff>
      <xdr:row>59</xdr:row>
      <xdr:rowOff>393700</xdr:rowOff>
    </xdr:to>
    <xdr:sp macro="" textlink="">
      <xdr:nvSpPr>
        <xdr:cNvPr id="124737" name="Line 59509">
          <a:extLst>
            <a:ext uri="{FF2B5EF4-FFF2-40B4-BE49-F238E27FC236}">
              <a16:creationId xmlns="" xmlns:a16="http://schemas.microsoft.com/office/drawing/2014/main" id="{888678D6-7DC7-1505-00A8-52859CB10293}"/>
            </a:ext>
          </a:extLst>
        </xdr:cNvPr>
        <xdr:cNvSpPr>
          <a:spLocks noChangeShapeType="1"/>
        </xdr:cNvSpPr>
      </xdr:nvSpPr>
      <xdr:spPr bwMode="auto">
        <a:xfrm>
          <a:off x="920750" y="17786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38" name="Line 59510">
          <a:extLst>
            <a:ext uri="{FF2B5EF4-FFF2-40B4-BE49-F238E27FC236}">
              <a16:creationId xmlns="" xmlns:a16="http://schemas.microsoft.com/office/drawing/2014/main" id="{0F4D593A-77ED-C164-A250-F7D4353AAE94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38100</xdr:rowOff>
    </xdr:from>
    <xdr:to>
      <xdr:col>5</xdr:col>
      <xdr:colOff>0</xdr:colOff>
      <xdr:row>59</xdr:row>
      <xdr:rowOff>393700</xdr:rowOff>
    </xdr:to>
    <xdr:sp macro="" textlink="">
      <xdr:nvSpPr>
        <xdr:cNvPr id="124739" name="Line 59511">
          <a:extLst>
            <a:ext uri="{FF2B5EF4-FFF2-40B4-BE49-F238E27FC236}">
              <a16:creationId xmlns="" xmlns:a16="http://schemas.microsoft.com/office/drawing/2014/main" id="{AF17B79E-D90D-7384-EF31-4FF57B5EF341}"/>
            </a:ext>
          </a:extLst>
        </xdr:cNvPr>
        <xdr:cNvSpPr>
          <a:spLocks noChangeShapeType="1"/>
        </xdr:cNvSpPr>
      </xdr:nvSpPr>
      <xdr:spPr bwMode="auto">
        <a:xfrm>
          <a:off x="920750" y="17786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40" name="Line 59512">
          <a:extLst>
            <a:ext uri="{FF2B5EF4-FFF2-40B4-BE49-F238E27FC236}">
              <a16:creationId xmlns="" xmlns:a16="http://schemas.microsoft.com/office/drawing/2014/main" id="{A5A096CC-9BC6-C4D2-9AE8-54E80D72BBF5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38100</xdr:rowOff>
    </xdr:from>
    <xdr:to>
      <xdr:col>5</xdr:col>
      <xdr:colOff>0</xdr:colOff>
      <xdr:row>59</xdr:row>
      <xdr:rowOff>393700</xdr:rowOff>
    </xdr:to>
    <xdr:sp macro="" textlink="">
      <xdr:nvSpPr>
        <xdr:cNvPr id="124741" name="Line 59513">
          <a:extLst>
            <a:ext uri="{FF2B5EF4-FFF2-40B4-BE49-F238E27FC236}">
              <a16:creationId xmlns="" xmlns:a16="http://schemas.microsoft.com/office/drawing/2014/main" id="{FB62177A-7ACE-AC0B-B59D-DC4192E1A9FD}"/>
            </a:ext>
          </a:extLst>
        </xdr:cNvPr>
        <xdr:cNvSpPr>
          <a:spLocks noChangeShapeType="1"/>
        </xdr:cNvSpPr>
      </xdr:nvSpPr>
      <xdr:spPr bwMode="auto">
        <a:xfrm>
          <a:off x="920750" y="17786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42" name="Line 59402">
          <a:extLst>
            <a:ext uri="{FF2B5EF4-FFF2-40B4-BE49-F238E27FC236}">
              <a16:creationId xmlns="" xmlns:a16="http://schemas.microsoft.com/office/drawing/2014/main" id="{B78E022A-316D-E1D0-4C74-77398C141224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19050</xdr:rowOff>
    </xdr:from>
    <xdr:to>
      <xdr:col>5</xdr:col>
      <xdr:colOff>0</xdr:colOff>
      <xdr:row>59</xdr:row>
      <xdr:rowOff>266700</xdr:rowOff>
    </xdr:to>
    <xdr:sp macro="" textlink="">
      <xdr:nvSpPr>
        <xdr:cNvPr id="124743" name="Line 59403">
          <a:extLst>
            <a:ext uri="{FF2B5EF4-FFF2-40B4-BE49-F238E27FC236}">
              <a16:creationId xmlns="" xmlns:a16="http://schemas.microsoft.com/office/drawing/2014/main" id="{C010207D-11C9-5048-438E-133834680DD5}"/>
            </a:ext>
          </a:extLst>
        </xdr:cNvPr>
        <xdr:cNvSpPr>
          <a:spLocks noChangeShapeType="1"/>
        </xdr:cNvSpPr>
      </xdr:nvSpPr>
      <xdr:spPr bwMode="auto">
        <a:xfrm>
          <a:off x="920750" y="17767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44" name="Line 59422">
          <a:extLst>
            <a:ext uri="{FF2B5EF4-FFF2-40B4-BE49-F238E27FC236}">
              <a16:creationId xmlns="" xmlns:a16="http://schemas.microsoft.com/office/drawing/2014/main" id="{A485CA85-A510-452C-CAF9-B7D55743BC52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19050</xdr:rowOff>
    </xdr:from>
    <xdr:to>
      <xdr:col>5</xdr:col>
      <xdr:colOff>0</xdr:colOff>
      <xdr:row>59</xdr:row>
      <xdr:rowOff>266700</xdr:rowOff>
    </xdr:to>
    <xdr:sp macro="" textlink="">
      <xdr:nvSpPr>
        <xdr:cNvPr id="124745" name="Line 59423">
          <a:extLst>
            <a:ext uri="{FF2B5EF4-FFF2-40B4-BE49-F238E27FC236}">
              <a16:creationId xmlns="" xmlns:a16="http://schemas.microsoft.com/office/drawing/2014/main" id="{6AB45896-6D02-366A-4C7D-091FED8FFFBC}"/>
            </a:ext>
          </a:extLst>
        </xdr:cNvPr>
        <xdr:cNvSpPr>
          <a:spLocks noChangeShapeType="1"/>
        </xdr:cNvSpPr>
      </xdr:nvSpPr>
      <xdr:spPr bwMode="auto">
        <a:xfrm>
          <a:off x="920750" y="17767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46" name="Line 59442">
          <a:extLst>
            <a:ext uri="{FF2B5EF4-FFF2-40B4-BE49-F238E27FC236}">
              <a16:creationId xmlns="" xmlns:a16="http://schemas.microsoft.com/office/drawing/2014/main" id="{11A54F9C-0BC5-0079-314C-AF2FE42F1078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19050</xdr:rowOff>
    </xdr:from>
    <xdr:to>
      <xdr:col>5</xdr:col>
      <xdr:colOff>0</xdr:colOff>
      <xdr:row>59</xdr:row>
      <xdr:rowOff>266700</xdr:rowOff>
    </xdr:to>
    <xdr:sp macro="" textlink="">
      <xdr:nvSpPr>
        <xdr:cNvPr id="124747" name="Line 59443">
          <a:extLst>
            <a:ext uri="{FF2B5EF4-FFF2-40B4-BE49-F238E27FC236}">
              <a16:creationId xmlns="" xmlns:a16="http://schemas.microsoft.com/office/drawing/2014/main" id="{DC6D28F1-8157-AD9F-D6AC-767EE6A23F92}"/>
            </a:ext>
          </a:extLst>
        </xdr:cNvPr>
        <xdr:cNvSpPr>
          <a:spLocks noChangeShapeType="1"/>
        </xdr:cNvSpPr>
      </xdr:nvSpPr>
      <xdr:spPr bwMode="auto">
        <a:xfrm>
          <a:off x="920750" y="17767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48" name="Line 59462">
          <a:extLst>
            <a:ext uri="{FF2B5EF4-FFF2-40B4-BE49-F238E27FC236}">
              <a16:creationId xmlns="" xmlns:a16="http://schemas.microsoft.com/office/drawing/2014/main" id="{0B9E1D88-B257-8D8C-5F41-BDAB5F5C3D13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19050</xdr:rowOff>
    </xdr:from>
    <xdr:to>
      <xdr:col>5</xdr:col>
      <xdr:colOff>0</xdr:colOff>
      <xdr:row>59</xdr:row>
      <xdr:rowOff>266700</xdr:rowOff>
    </xdr:to>
    <xdr:sp macro="" textlink="">
      <xdr:nvSpPr>
        <xdr:cNvPr id="124749" name="Line 59463">
          <a:extLst>
            <a:ext uri="{FF2B5EF4-FFF2-40B4-BE49-F238E27FC236}">
              <a16:creationId xmlns="" xmlns:a16="http://schemas.microsoft.com/office/drawing/2014/main" id="{F67D605F-3ADB-F7F9-1CCB-52545BE08ADE}"/>
            </a:ext>
          </a:extLst>
        </xdr:cNvPr>
        <xdr:cNvSpPr>
          <a:spLocks noChangeShapeType="1"/>
        </xdr:cNvSpPr>
      </xdr:nvSpPr>
      <xdr:spPr bwMode="auto">
        <a:xfrm>
          <a:off x="920750" y="17767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50" name="Line 59482">
          <a:extLst>
            <a:ext uri="{FF2B5EF4-FFF2-40B4-BE49-F238E27FC236}">
              <a16:creationId xmlns="" xmlns:a16="http://schemas.microsoft.com/office/drawing/2014/main" id="{881436C8-FD38-A4C9-64A6-CA962B823DE4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19050</xdr:rowOff>
    </xdr:from>
    <xdr:to>
      <xdr:col>5</xdr:col>
      <xdr:colOff>0</xdr:colOff>
      <xdr:row>59</xdr:row>
      <xdr:rowOff>266700</xdr:rowOff>
    </xdr:to>
    <xdr:sp macro="" textlink="">
      <xdr:nvSpPr>
        <xdr:cNvPr id="124751" name="Line 59483">
          <a:extLst>
            <a:ext uri="{FF2B5EF4-FFF2-40B4-BE49-F238E27FC236}">
              <a16:creationId xmlns="" xmlns:a16="http://schemas.microsoft.com/office/drawing/2014/main" id="{38CCE30C-429A-13E4-2967-943D046C5588}"/>
            </a:ext>
          </a:extLst>
        </xdr:cNvPr>
        <xdr:cNvSpPr>
          <a:spLocks noChangeShapeType="1"/>
        </xdr:cNvSpPr>
      </xdr:nvSpPr>
      <xdr:spPr bwMode="auto">
        <a:xfrm>
          <a:off x="920750" y="17767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59</xdr:row>
      <xdr:rowOff>0</xdr:rowOff>
    </xdr:from>
    <xdr:to>
      <xdr:col>11</xdr:col>
      <xdr:colOff>25400</xdr:colOff>
      <xdr:row>59</xdr:row>
      <xdr:rowOff>0</xdr:rowOff>
    </xdr:to>
    <xdr:sp macro="" textlink="">
      <xdr:nvSpPr>
        <xdr:cNvPr id="124752" name="Line 59502">
          <a:extLst>
            <a:ext uri="{FF2B5EF4-FFF2-40B4-BE49-F238E27FC236}">
              <a16:creationId xmlns="" xmlns:a16="http://schemas.microsoft.com/office/drawing/2014/main" id="{718F3B54-82BE-7007-632B-88EB0F27FC5A}"/>
            </a:ext>
          </a:extLst>
        </xdr:cNvPr>
        <xdr:cNvSpPr>
          <a:spLocks noChangeShapeType="1"/>
        </xdr:cNvSpPr>
      </xdr:nvSpPr>
      <xdr:spPr bwMode="auto">
        <a:xfrm>
          <a:off x="317500" y="17748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59</xdr:row>
      <xdr:rowOff>19050</xdr:rowOff>
    </xdr:from>
    <xdr:to>
      <xdr:col>5</xdr:col>
      <xdr:colOff>0</xdr:colOff>
      <xdr:row>59</xdr:row>
      <xdr:rowOff>266700</xdr:rowOff>
    </xdr:to>
    <xdr:sp macro="" textlink="">
      <xdr:nvSpPr>
        <xdr:cNvPr id="124753" name="Line 59503">
          <a:extLst>
            <a:ext uri="{FF2B5EF4-FFF2-40B4-BE49-F238E27FC236}">
              <a16:creationId xmlns="" xmlns:a16="http://schemas.microsoft.com/office/drawing/2014/main" id="{1A3D8E6A-B71C-F579-9AE1-42CC05BA47CB}"/>
            </a:ext>
          </a:extLst>
        </xdr:cNvPr>
        <xdr:cNvSpPr>
          <a:spLocks noChangeShapeType="1"/>
        </xdr:cNvSpPr>
      </xdr:nvSpPr>
      <xdr:spPr bwMode="auto">
        <a:xfrm>
          <a:off x="920750" y="17767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177800</xdr:colOff>
      <xdr:row>27</xdr:row>
      <xdr:rowOff>82550</xdr:rowOff>
    </xdr:from>
    <xdr:to>
      <xdr:col>4</xdr:col>
      <xdr:colOff>177800</xdr:colOff>
      <xdr:row>27</xdr:row>
      <xdr:rowOff>279400</xdr:rowOff>
    </xdr:to>
    <xdr:sp macro="" textlink="">
      <xdr:nvSpPr>
        <xdr:cNvPr id="124754" name="Line 60225">
          <a:extLst>
            <a:ext uri="{FF2B5EF4-FFF2-40B4-BE49-F238E27FC236}">
              <a16:creationId xmlns="" xmlns:a16="http://schemas.microsoft.com/office/drawing/2014/main" id="{38BA4AE8-A75D-2ED3-1809-05E88F4E78CE}"/>
            </a:ext>
          </a:extLst>
        </xdr:cNvPr>
        <xdr:cNvSpPr>
          <a:spLocks noChangeShapeType="1"/>
        </xdr:cNvSpPr>
      </xdr:nvSpPr>
      <xdr:spPr bwMode="auto">
        <a:xfrm>
          <a:off x="914400" y="1035685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107950</xdr:colOff>
      <xdr:row>24</xdr:row>
      <xdr:rowOff>222250</xdr:rowOff>
    </xdr:from>
    <xdr:to>
      <xdr:col>11</xdr:col>
      <xdr:colOff>0</xdr:colOff>
      <xdr:row>24</xdr:row>
      <xdr:rowOff>222250</xdr:rowOff>
    </xdr:to>
    <xdr:sp macro="" textlink="">
      <xdr:nvSpPr>
        <xdr:cNvPr id="124756" name="Line 60115">
          <a:extLst>
            <a:ext uri="{FF2B5EF4-FFF2-40B4-BE49-F238E27FC236}">
              <a16:creationId xmlns="" xmlns:a16="http://schemas.microsoft.com/office/drawing/2014/main" id="{87EF2367-1031-3AFD-F354-F498612A9CA9}"/>
            </a:ext>
          </a:extLst>
        </xdr:cNvPr>
        <xdr:cNvSpPr>
          <a:spLocks noChangeShapeType="1"/>
        </xdr:cNvSpPr>
      </xdr:nvSpPr>
      <xdr:spPr bwMode="auto">
        <a:xfrm>
          <a:off x="292100" y="72580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</xdr:colOff>
      <xdr:row>27</xdr:row>
      <xdr:rowOff>31750</xdr:rowOff>
    </xdr:from>
    <xdr:to>
      <xdr:col>10</xdr:col>
      <xdr:colOff>95250</xdr:colOff>
      <xdr:row>27</xdr:row>
      <xdr:rowOff>31750</xdr:rowOff>
    </xdr:to>
    <xdr:sp macro="" textlink="">
      <xdr:nvSpPr>
        <xdr:cNvPr id="124757" name="Line 60115">
          <a:extLst>
            <a:ext uri="{FF2B5EF4-FFF2-40B4-BE49-F238E27FC236}">
              <a16:creationId xmlns="" xmlns:a16="http://schemas.microsoft.com/office/drawing/2014/main" id="{CABE7E8F-9EEB-BD14-2A5E-81300860C288}"/>
            </a:ext>
          </a:extLst>
        </xdr:cNvPr>
        <xdr:cNvSpPr>
          <a:spLocks noChangeShapeType="1"/>
        </xdr:cNvSpPr>
      </xdr:nvSpPr>
      <xdr:spPr bwMode="auto">
        <a:xfrm>
          <a:off x="203200" y="103060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62" name="Line 59398">
          <a:extLst>
            <a:ext uri="{FF2B5EF4-FFF2-40B4-BE49-F238E27FC236}">
              <a16:creationId xmlns="" xmlns:a16="http://schemas.microsoft.com/office/drawing/2014/main" id="{47BBA619-B1A8-5CFA-5D8D-CF71CBCCD71C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63" name="Line 59399">
          <a:extLst>
            <a:ext uri="{FF2B5EF4-FFF2-40B4-BE49-F238E27FC236}">
              <a16:creationId xmlns="" xmlns:a16="http://schemas.microsoft.com/office/drawing/2014/main" id="{0BA2DA95-09C8-BF88-7C9C-BF9AA0DF5371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4764" name="Line 59400">
          <a:extLst>
            <a:ext uri="{FF2B5EF4-FFF2-40B4-BE49-F238E27FC236}">
              <a16:creationId xmlns="" xmlns:a16="http://schemas.microsoft.com/office/drawing/2014/main" id="{583B3079-41C4-E49D-1AA7-6DE9C6DB3ECE}"/>
            </a:ext>
          </a:extLst>
        </xdr:cNvPr>
        <xdr:cNvSpPr>
          <a:spLocks noChangeShapeType="1"/>
        </xdr:cNvSpPr>
      </xdr:nvSpPr>
      <xdr:spPr bwMode="auto">
        <a:xfrm>
          <a:off x="317500" y="132207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241300</xdr:rowOff>
    </xdr:to>
    <xdr:sp macro="" textlink="">
      <xdr:nvSpPr>
        <xdr:cNvPr id="124765" name="Line 59401">
          <a:extLst>
            <a:ext uri="{FF2B5EF4-FFF2-40B4-BE49-F238E27FC236}">
              <a16:creationId xmlns="" xmlns:a16="http://schemas.microsoft.com/office/drawing/2014/main" id="{9CB1BC23-280B-E047-656F-9B745610F4E1}"/>
            </a:ext>
          </a:extLst>
        </xdr:cNvPr>
        <xdr:cNvSpPr>
          <a:spLocks noChangeShapeType="1"/>
        </xdr:cNvSpPr>
      </xdr:nvSpPr>
      <xdr:spPr bwMode="auto">
        <a:xfrm>
          <a:off x="920750" y="1323975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66" name="Line 59418">
          <a:extLst>
            <a:ext uri="{FF2B5EF4-FFF2-40B4-BE49-F238E27FC236}">
              <a16:creationId xmlns="" xmlns:a16="http://schemas.microsoft.com/office/drawing/2014/main" id="{5EEC7C18-CC94-AFBA-D9DC-CFB4ED8AFEA5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67" name="Line 59419">
          <a:extLst>
            <a:ext uri="{FF2B5EF4-FFF2-40B4-BE49-F238E27FC236}">
              <a16:creationId xmlns="" xmlns:a16="http://schemas.microsoft.com/office/drawing/2014/main" id="{63582331-1914-D74D-C9BB-145783332F5F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4768" name="Line 59420">
          <a:extLst>
            <a:ext uri="{FF2B5EF4-FFF2-40B4-BE49-F238E27FC236}">
              <a16:creationId xmlns="" xmlns:a16="http://schemas.microsoft.com/office/drawing/2014/main" id="{9C01B532-619C-B7FC-03AB-B770F619DB10}"/>
            </a:ext>
          </a:extLst>
        </xdr:cNvPr>
        <xdr:cNvSpPr>
          <a:spLocks noChangeShapeType="1"/>
        </xdr:cNvSpPr>
      </xdr:nvSpPr>
      <xdr:spPr bwMode="auto">
        <a:xfrm>
          <a:off x="317500" y="132207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241300</xdr:rowOff>
    </xdr:to>
    <xdr:sp macro="" textlink="">
      <xdr:nvSpPr>
        <xdr:cNvPr id="124769" name="Line 59421">
          <a:extLst>
            <a:ext uri="{FF2B5EF4-FFF2-40B4-BE49-F238E27FC236}">
              <a16:creationId xmlns="" xmlns:a16="http://schemas.microsoft.com/office/drawing/2014/main" id="{A9B30739-3195-C4EA-363B-C174E0D2D922}"/>
            </a:ext>
          </a:extLst>
        </xdr:cNvPr>
        <xdr:cNvSpPr>
          <a:spLocks noChangeShapeType="1"/>
        </xdr:cNvSpPr>
      </xdr:nvSpPr>
      <xdr:spPr bwMode="auto">
        <a:xfrm>
          <a:off x="920750" y="1323975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70" name="Line 59438">
          <a:extLst>
            <a:ext uri="{FF2B5EF4-FFF2-40B4-BE49-F238E27FC236}">
              <a16:creationId xmlns="" xmlns:a16="http://schemas.microsoft.com/office/drawing/2014/main" id="{B30ABCAD-381B-06B7-C985-157367D10115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71" name="Line 59439">
          <a:extLst>
            <a:ext uri="{FF2B5EF4-FFF2-40B4-BE49-F238E27FC236}">
              <a16:creationId xmlns="" xmlns:a16="http://schemas.microsoft.com/office/drawing/2014/main" id="{FDE686F0-2CA4-0A08-0E22-966CFBC3D6AB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4772" name="Line 59440">
          <a:extLst>
            <a:ext uri="{FF2B5EF4-FFF2-40B4-BE49-F238E27FC236}">
              <a16:creationId xmlns="" xmlns:a16="http://schemas.microsoft.com/office/drawing/2014/main" id="{9F6F6A2E-9FC2-D19F-586D-391E2CC84392}"/>
            </a:ext>
          </a:extLst>
        </xdr:cNvPr>
        <xdr:cNvSpPr>
          <a:spLocks noChangeShapeType="1"/>
        </xdr:cNvSpPr>
      </xdr:nvSpPr>
      <xdr:spPr bwMode="auto">
        <a:xfrm>
          <a:off x="317500" y="132207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241300</xdr:rowOff>
    </xdr:to>
    <xdr:sp macro="" textlink="">
      <xdr:nvSpPr>
        <xdr:cNvPr id="124773" name="Line 59441">
          <a:extLst>
            <a:ext uri="{FF2B5EF4-FFF2-40B4-BE49-F238E27FC236}">
              <a16:creationId xmlns="" xmlns:a16="http://schemas.microsoft.com/office/drawing/2014/main" id="{FE16C206-F3A1-9801-87AE-628F426097E3}"/>
            </a:ext>
          </a:extLst>
        </xdr:cNvPr>
        <xdr:cNvSpPr>
          <a:spLocks noChangeShapeType="1"/>
        </xdr:cNvSpPr>
      </xdr:nvSpPr>
      <xdr:spPr bwMode="auto">
        <a:xfrm>
          <a:off x="920750" y="1323975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74" name="Line 59458">
          <a:extLst>
            <a:ext uri="{FF2B5EF4-FFF2-40B4-BE49-F238E27FC236}">
              <a16:creationId xmlns="" xmlns:a16="http://schemas.microsoft.com/office/drawing/2014/main" id="{EAE54C6F-29C1-7D06-B310-293488E1B48D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75" name="Line 59459">
          <a:extLst>
            <a:ext uri="{FF2B5EF4-FFF2-40B4-BE49-F238E27FC236}">
              <a16:creationId xmlns="" xmlns:a16="http://schemas.microsoft.com/office/drawing/2014/main" id="{B9D4F816-0ACE-5521-8F09-23DE98DBE485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4776" name="Line 59460">
          <a:extLst>
            <a:ext uri="{FF2B5EF4-FFF2-40B4-BE49-F238E27FC236}">
              <a16:creationId xmlns="" xmlns:a16="http://schemas.microsoft.com/office/drawing/2014/main" id="{54BB9DFD-52EF-03B6-97D2-4758A47F9F04}"/>
            </a:ext>
          </a:extLst>
        </xdr:cNvPr>
        <xdr:cNvSpPr>
          <a:spLocks noChangeShapeType="1"/>
        </xdr:cNvSpPr>
      </xdr:nvSpPr>
      <xdr:spPr bwMode="auto">
        <a:xfrm>
          <a:off x="317500" y="132207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241300</xdr:rowOff>
    </xdr:to>
    <xdr:sp macro="" textlink="">
      <xdr:nvSpPr>
        <xdr:cNvPr id="124777" name="Line 59461">
          <a:extLst>
            <a:ext uri="{FF2B5EF4-FFF2-40B4-BE49-F238E27FC236}">
              <a16:creationId xmlns="" xmlns:a16="http://schemas.microsoft.com/office/drawing/2014/main" id="{703132CD-CE12-02A0-E014-3EFA9EF87FE7}"/>
            </a:ext>
          </a:extLst>
        </xdr:cNvPr>
        <xdr:cNvSpPr>
          <a:spLocks noChangeShapeType="1"/>
        </xdr:cNvSpPr>
      </xdr:nvSpPr>
      <xdr:spPr bwMode="auto">
        <a:xfrm>
          <a:off x="920750" y="1323975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78" name="Line 59478">
          <a:extLst>
            <a:ext uri="{FF2B5EF4-FFF2-40B4-BE49-F238E27FC236}">
              <a16:creationId xmlns="" xmlns:a16="http://schemas.microsoft.com/office/drawing/2014/main" id="{7EF40741-B2C4-1DD7-06B1-57716A70AECA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79" name="Line 59479">
          <a:extLst>
            <a:ext uri="{FF2B5EF4-FFF2-40B4-BE49-F238E27FC236}">
              <a16:creationId xmlns="" xmlns:a16="http://schemas.microsoft.com/office/drawing/2014/main" id="{AFB6926C-3649-3C24-1175-BB326FDB353B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4780" name="Line 59480">
          <a:extLst>
            <a:ext uri="{FF2B5EF4-FFF2-40B4-BE49-F238E27FC236}">
              <a16:creationId xmlns="" xmlns:a16="http://schemas.microsoft.com/office/drawing/2014/main" id="{E99F34F4-3E69-EC52-5C25-7B0A80C24551}"/>
            </a:ext>
          </a:extLst>
        </xdr:cNvPr>
        <xdr:cNvSpPr>
          <a:spLocks noChangeShapeType="1"/>
        </xdr:cNvSpPr>
      </xdr:nvSpPr>
      <xdr:spPr bwMode="auto">
        <a:xfrm>
          <a:off x="317500" y="132207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241300</xdr:rowOff>
    </xdr:to>
    <xdr:sp macro="" textlink="">
      <xdr:nvSpPr>
        <xdr:cNvPr id="124781" name="Line 59481">
          <a:extLst>
            <a:ext uri="{FF2B5EF4-FFF2-40B4-BE49-F238E27FC236}">
              <a16:creationId xmlns="" xmlns:a16="http://schemas.microsoft.com/office/drawing/2014/main" id="{74706D27-133A-1C86-449F-86575225CE7F}"/>
            </a:ext>
          </a:extLst>
        </xdr:cNvPr>
        <xdr:cNvSpPr>
          <a:spLocks noChangeShapeType="1"/>
        </xdr:cNvSpPr>
      </xdr:nvSpPr>
      <xdr:spPr bwMode="auto">
        <a:xfrm>
          <a:off x="920750" y="1323975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82" name="Line 59498">
          <a:extLst>
            <a:ext uri="{FF2B5EF4-FFF2-40B4-BE49-F238E27FC236}">
              <a16:creationId xmlns="" xmlns:a16="http://schemas.microsoft.com/office/drawing/2014/main" id="{451C163D-A3E4-DDC2-6722-FCD94DEE28A8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83" name="Line 59499">
          <a:extLst>
            <a:ext uri="{FF2B5EF4-FFF2-40B4-BE49-F238E27FC236}">
              <a16:creationId xmlns="" xmlns:a16="http://schemas.microsoft.com/office/drawing/2014/main" id="{CFDD679F-AB40-049B-536F-E2928DBE2D16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4784" name="Line 59500">
          <a:extLst>
            <a:ext uri="{FF2B5EF4-FFF2-40B4-BE49-F238E27FC236}">
              <a16:creationId xmlns="" xmlns:a16="http://schemas.microsoft.com/office/drawing/2014/main" id="{28D11A57-4C7D-36C9-2E40-642A36FA74FE}"/>
            </a:ext>
          </a:extLst>
        </xdr:cNvPr>
        <xdr:cNvSpPr>
          <a:spLocks noChangeShapeType="1"/>
        </xdr:cNvSpPr>
      </xdr:nvSpPr>
      <xdr:spPr bwMode="auto">
        <a:xfrm>
          <a:off x="317500" y="132207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241300</xdr:rowOff>
    </xdr:to>
    <xdr:sp macro="" textlink="">
      <xdr:nvSpPr>
        <xdr:cNvPr id="124785" name="Line 59501">
          <a:extLst>
            <a:ext uri="{FF2B5EF4-FFF2-40B4-BE49-F238E27FC236}">
              <a16:creationId xmlns="" xmlns:a16="http://schemas.microsoft.com/office/drawing/2014/main" id="{E4A21FA3-5F82-054B-C2F7-1A98FCFA47A3}"/>
            </a:ext>
          </a:extLst>
        </xdr:cNvPr>
        <xdr:cNvSpPr>
          <a:spLocks noChangeShapeType="1"/>
        </xdr:cNvSpPr>
      </xdr:nvSpPr>
      <xdr:spPr bwMode="auto">
        <a:xfrm>
          <a:off x="920750" y="1323975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55</xdr:row>
      <xdr:rowOff>82550</xdr:rowOff>
    </xdr:from>
    <xdr:to>
      <xdr:col>11</xdr:col>
      <xdr:colOff>25400</xdr:colOff>
      <xdr:row>55</xdr:row>
      <xdr:rowOff>82550</xdr:rowOff>
    </xdr:to>
    <xdr:sp macro="" textlink="">
      <xdr:nvSpPr>
        <xdr:cNvPr id="124786" name="Line 59502">
          <a:extLst>
            <a:ext uri="{FF2B5EF4-FFF2-40B4-BE49-F238E27FC236}">
              <a16:creationId xmlns="" xmlns:a16="http://schemas.microsoft.com/office/drawing/2014/main" id="{0721B50A-AAEE-D771-4699-46055DB39607}"/>
            </a:ext>
          </a:extLst>
        </xdr:cNvPr>
        <xdr:cNvSpPr>
          <a:spLocks noChangeShapeType="1"/>
        </xdr:cNvSpPr>
      </xdr:nvSpPr>
      <xdr:spPr bwMode="auto">
        <a:xfrm>
          <a:off x="317500" y="137922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55</xdr:row>
      <xdr:rowOff>101600</xdr:rowOff>
    </xdr:from>
    <xdr:to>
      <xdr:col>5</xdr:col>
      <xdr:colOff>0</xdr:colOff>
      <xdr:row>55</xdr:row>
      <xdr:rowOff>349250</xdr:rowOff>
    </xdr:to>
    <xdr:sp macro="" textlink="">
      <xdr:nvSpPr>
        <xdr:cNvPr id="124787" name="Line 59503">
          <a:extLst>
            <a:ext uri="{FF2B5EF4-FFF2-40B4-BE49-F238E27FC236}">
              <a16:creationId xmlns="" xmlns:a16="http://schemas.microsoft.com/office/drawing/2014/main" id="{96EDE47C-E064-A623-4699-C3878162E151}"/>
            </a:ext>
          </a:extLst>
        </xdr:cNvPr>
        <xdr:cNvSpPr>
          <a:spLocks noChangeShapeType="1"/>
        </xdr:cNvSpPr>
      </xdr:nvSpPr>
      <xdr:spPr bwMode="auto">
        <a:xfrm>
          <a:off x="920750" y="138112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88" name="Line 59723">
          <a:extLst>
            <a:ext uri="{FF2B5EF4-FFF2-40B4-BE49-F238E27FC236}">
              <a16:creationId xmlns="" xmlns:a16="http://schemas.microsoft.com/office/drawing/2014/main" id="{C395B35E-2589-871C-1B02-C635446F197D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89" name="Line 59724">
          <a:extLst>
            <a:ext uri="{FF2B5EF4-FFF2-40B4-BE49-F238E27FC236}">
              <a16:creationId xmlns="" xmlns:a16="http://schemas.microsoft.com/office/drawing/2014/main" id="{72EC5892-9400-F26A-FC74-F4A2C76A99CB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90" name="Line 59725">
          <a:extLst>
            <a:ext uri="{FF2B5EF4-FFF2-40B4-BE49-F238E27FC236}">
              <a16:creationId xmlns="" xmlns:a16="http://schemas.microsoft.com/office/drawing/2014/main" id="{F6523EDE-997F-1E0B-FAC7-7BEC42457800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91" name="Line 59726">
          <a:extLst>
            <a:ext uri="{FF2B5EF4-FFF2-40B4-BE49-F238E27FC236}">
              <a16:creationId xmlns="" xmlns:a16="http://schemas.microsoft.com/office/drawing/2014/main" id="{34F2969F-8C92-03A6-4191-16768790A6C7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92" name="Line 59727">
          <a:extLst>
            <a:ext uri="{FF2B5EF4-FFF2-40B4-BE49-F238E27FC236}">
              <a16:creationId xmlns="" xmlns:a16="http://schemas.microsoft.com/office/drawing/2014/main" id="{86B1A76B-5A97-FAC8-B25E-2473198308AC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93" name="Line 59728">
          <a:extLst>
            <a:ext uri="{FF2B5EF4-FFF2-40B4-BE49-F238E27FC236}">
              <a16:creationId xmlns="" xmlns:a16="http://schemas.microsoft.com/office/drawing/2014/main" id="{654A62D3-DE32-F1F5-67F9-C7BFE431A797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94" name="Line 59729">
          <a:extLst>
            <a:ext uri="{FF2B5EF4-FFF2-40B4-BE49-F238E27FC236}">
              <a16:creationId xmlns="" xmlns:a16="http://schemas.microsoft.com/office/drawing/2014/main" id="{5487B948-FD42-5477-0663-F4AC74F58345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95" name="Line 59730">
          <a:extLst>
            <a:ext uri="{FF2B5EF4-FFF2-40B4-BE49-F238E27FC236}">
              <a16:creationId xmlns="" xmlns:a16="http://schemas.microsoft.com/office/drawing/2014/main" id="{C347D3AF-FFB1-1E16-FBC0-AB5E65428EE5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96" name="Line 59731">
          <a:extLst>
            <a:ext uri="{FF2B5EF4-FFF2-40B4-BE49-F238E27FC236}">
              <a16:creationId xmlns="" xmlns:a16="http://schemas.microsoft.com/office/drawing/2014/main" id="{98460D2D-3700-8642-65EE-6781DDE975D5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97" name="Line 59732">
          <a:extLst>
            <a:ext uri="{FF2B5EF4-FFF2-40B4-BE49-F238E27FC236}">
              <a16:creationId xmlns="" xmlns:a16="http://schemas.microsoft.com/office/drawing/2014/main" id="{B23321F1-A4E5-107B-1E55-F7D54C3F2EC0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798" name="Line 59733">
          <a:extLst>
            <a:ext uri="{FF2B5EF4-FFF2-40B4-BE49-F238E27FC236}">
              <a16:creationId xmlns="" xmlns:a16="http://schemas.microsoft.com/office/drawing/2014/main" id="{639FAAD6-2074-BA63-95BF-B6FEAD511BE7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799" name="Line 59734">
          <a:extLst>
            <a:ext uri="{FF2B5EF4-FFF2-40B4-BE49-F238E27FC236}">
              <a16:creationId xmlns="" xmlns:a16="http://schemas.microsoft.com/office/drawing/2014/main" id="{F728C0D7-C8AC-ACF0-78A1-A2349F341C31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00" name="Line 59735">
          <a:extLst>
            <a:ext uri="{FF2B5EF4-FFF2-40B4-BE49-F238E27FC236}">
              <a16:creationId xmlns="" xmlns:a16="http://schemas.microsoft.com/office/drawing/2014/main" id="{503C2BB0-CBD1-9855-07CB-0C16FEC9213D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01" name="Line 59736">
          <a:extLst>
            <a:ext uri="{FF2B5EF4-FFF2-40B4-BE49-F238E27FC236}">
              <a16:creationId xmlns="" xmlns:a16="http://schemas.microsoft.com/office/drawing/2014/main" id="{5D123645-3F24-593E-0458-F4CFB8E28576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02" name="Line 59737">
          <a:extLst>
            <a:ext uri="{FF2B5EF4-FFF2-40B4-BE49-F238E27FC236}">
              <a16:creationId xmlns="" xmlns:a16="http://schemas.microsoft.com/office/drawing/2014/main" id="{A73943CB-1684-A54F-B657-D3334A507FC2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03" name="Line 59738">
          <a:extLst>
            <a:ext uri="{FF2B5EF4-FFF2-40B4-BE49-F238E27FC236}">
              <a16:creationId xmlns="" xmlns:a16="http://schemas.microsoft.com/office/drawing/2014/main" id="{C3876F1B-F0E2-A4E6-CE23-FD798FDBABB9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04" name="Line 59739">
          <a:extLst>
            <a:ext uri="{FF2B5EF4-FFF2-40B4-BE49-F238E27FC236}">
              <a16:creationId xmlns="" xmlns:a16="http://schemas.microsoft.com/office/drawing/2014/main" id="{6EE58431-DB32-F87F-5D6F-30E6E017A267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05" name="Line 59740">
          <a:extLst>
            <a:ext uri="{FF2B5EF4-FFF2-40B4-BE49-F238E27FC236}">
              <a16:creationId xmlns="" xmlns:a16="http://schemas.microsoft.com/office/drawing/2014/main" id="{F2FB3E32-9257-2E19-10F0-3E5135FFBAB3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06" name="Line 59741">
          <a:extLst>
            <a:ext uri="{FF2B5EF4-FFF2-40B4-BE49-F238E27FC236}">
              <a16:creationId xmlns="" xmlns:a16="http://schemas.microsoft.com/office/drawing/2014/main" id="{E098B747-29AB-DC62-8A81-799CAB291FC9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07" name="Line 59742">
          <a:extLst>
            <a:ext uri="{FF2B5EF4-FFF2-40B4-BE49-F238E27FC236}">
              <a16:creationId xmlns="" xmlns:a16="http://schemas.microsoft.com/office/drawing/2014/main" id="{4C3EC95D-6EE2-9BAB-9237-1CD4B6C1EC51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08" name="Line 59743">
          <a:extLst>
            <a:ext uri="{FF2B5EF4-FFF2-40B4-BE49-F238E27FC236}">
              <a16:creationId xmlns="" xmlns:a16="http://schemas.microsoft.com/office/drawing/2014/main" id="{4F6E2BF3-3655-7E29-1DC3-8EDF7B01821F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09" name="Line 59744">
          <a:extLst>
            <a:ext uri="{FF2B5EF4-FFF2-40B4-BE49-F238E27FC236}">
              <a16:creationId xmlns="" xmlns:a16="http://schemas.microsoft.com/office/drawing/2014/main" id="{DDAAA46E-87D3-1DF0-1E5C-D215BDC4007B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10" name="Line 59745">
          <a:extLst>
            <a:ext uri="{FF2B5EF4-FFF2-40B4-BE49-F238E27FC236}">
              <a16:creationId xmlns="" xmlns:a16="http://schemas.microsoft.com/office/drawing/2014/main" id="{261898A1-5A1A-25FF-E442-377A78726942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11" name="Line 59746">
          <a:extLst>
            <a:ext uri="{FF2B5EF4-FFF2-40B4-BE49-F238E27FC236}">
              <a16:creationId xmlns="" xmlns:a16="http://schemas.microsoft.com/office/drawing/2014/main" id="{95265096-2CE9-FE13-423A-A8C5EC1D0774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12" name="Line 59747">
          <a:extLst>
            <a:ext uri="{FF2B5EF4-FFF2-40B4-BE49-F238E27FC236}">
              <a16:creationId xmlns="" xmlns:a16="http://schemas.microsoft.com/office/drawing/2014/main" id="{1C848D0C-70B1-4055-B858-009D4885EDF7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13" name="Line 59748">
          <a:extLst>
            <a:ext uri="{FF2B5EF4-FFF2-40B4-BE49-F238E27FC236}">
              <a16:creationId xmlns="" xmlns:a16="http://schemas.microsoft.com/office/drawing/2014/main" id="{D5887A3C-4A38-940D-3835-1D09F9E051EA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14" name="Line 59749">
          <a:extLst>
            <a:ext uri="{FF2B5EF4-FFF2-40B4-BE49-F238E27FC236}">
              <a16:creationId xmlns="" xmlns:a16="http://schemas.microsoft.com/office/drawing/2014/main" id="{79812258-2A4F-8CED-3FB8-ADD9F4167AA0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15" name="Line 59750">
          <a:extLst>
            <a:ext uri="{FF2B5EF4-FFF2-40B4-BE49-F238E27FC236}">
              <a16:creationId xmlns="" xmlns:a16="http://schemas.microsoft.com/office/drawing/2014/main" id="{C17374B6-4825-563D-98F5-4DE7F23B1B0F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16" name="Line 59751">
          <a:extLst>
            <a:ext uri="{FF2B5EF4-FFF2-40B4-BE49-F238E27FC236}">
              <a16:creationId xmlns="" xmlns:a16="http://schemas.microsoft.com/office/drawing/2014/main" id="{043B64AD-5B60-D5D4-27EE-961CD8C96135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17" name="Line 59752">
          <a:extLst>
            <a:ext uri="{FF2B5EF4-FFF2-40B4-BE49-F238E27FC236}">
              <a16:creationId xmlns="" xmlns:a16="http://schemas.microsoft.com/office/drawing/2014/main" id="{1EFB13F2-2DA4-D418-195B-1E23433F5163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18" name="Line 59753">
          <a:extLst>
            <a:ext uri="{FF2B5EF4-FFF2-40B4-BE49-F238E27FC236}">
              <a16:creationId xmlns="" xmlns:a16="http://schemas.microsoft.com/office/drawing/2014/main" id="{C55534E8-3E9C-85A0-DF31-71EE695B6D7B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19" name="Line 59754">
          <a:extLst>
            <a:ext uri="{FF2B5EF4-FFF2-40B4-BE49-F238E27FC236}">
              <a16:creationId xmlns="" xmlns:a16="http://schemas.microsoft.com/office/drawing/2014/main" id="{592FE0F1-F515-C2E9-3E22-0EC8F4CF7A5B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20" name="Line 59755">
          <a:extLst>
            <a:ext uri="{FF2B5EF4-FFF2-40B4-BE49-F238E27FC236}">
              <a16:creationId xmlns="" xmlns:a16="http://schemas.microsoft.com/office/drawing/2014/main" id="{834C0093-EF7B-D1D2-47F9-8010B1DF61EA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21" name="Line 59756">
          <a:extLst>
            <a:ext uri="{FF2B5EF4-FFF2-40B4-BE49-F238E27FC236}">
              <a16:creationId xmlns="" xmlns:a16="http://schemas.microsoft.com/office/drawing/2014/main" id="{E0A5E912-212A-9171-1DF8-640C115D73E9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22" name="Line 59757">
          <a:extLst>
            <a:ext uri="{FF2B5EF4-FFF2-40B4-BE49-F238E27FC236}">
              <a16:creationId xmlns="" xmlns:a16="http://schemas.microsoft.com/office/drawing/2014/main" id="{FB2B2D5B-5AD5-AEBF-D3AB-0CCF716284D7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23" name="Line 59758">
          <a:extLst>
            <a:ext uri="{FF2B5EF4-FFF2-40B4-BE49-F238E27FC236}">
              <a16:creationId xmlns="" xmlns:a16="http://schemas.microsoft.com/office/drawing/2014/main" id="{75C44E71-5EFA-6BB0-DE70-595ED9543A7D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24" name="Line 59759">
          <a:extLst>
            <a:ext uri="{FF2B5EF4-FFF2-40B4-BE49-F238E27FC236}">
              <a16:creationId xmlns="" xmlns:a16="http://schemas.microsoft.com/office/drawing/2014/main" id="{1D257AD8-8DCB-6958-A79A-311EA5008D45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25" name="Line 59760">
          <a:extLst>
            <a:ext uri="{FF2B5EF4-FFF2-40B4-BE49-F238E27FC236}">
              <a16:creationId xmlns="" xmlns:a16="http://schemas.microsoft.com/office/drawing/2014/main" id="{8F69C9B6-D505-6028-37C4-7E969D7DEF7B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26" name="Line 59761">
          <a:extLst>
            <a:ext uri="{FF2B5EF4-FFF2-40B4-BE49-F238E27FC236}">
              <a16:creationId xmlns="" xmlns:a16="http://schemas.microsoft.com/office/drawing/2014/main" id="{AE04AAA1-399B-442E-0484-786D5074ED11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27" name="Line 59762">
          <a:extLst>
            <a:ext uri="{FF2B5EF4-FFF2-40B4-BE49-F238E27FC236}">
              <a16:creationId xmlns="" xmlns:a16="http://schemas.microsoft.com/office/drawing/2014/main" id="{633FD442-E5BB-DD6E-7AF4-E8D8B8BFF28B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28" name="Line 59763">
          <a:extLst>
            <a:ext uri="{FF2B5EF4-FFF2-40B4-BE49-F238E27FC236}">
              <a16:creationId xmlns="" xmlns:a16="http://schemas.microsoft.com/office/drawing/2014/main" id="{9DF78DD9-77ED-BAF7-8534-3C3FE05A9BA5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29" name="Line 59764">
          <a:extLst>
            <a:ext uri="{FF2B5EF4-FFF2-40B4-BE49-F238E27FC236}">
              <a16:creationId xmlns="" xmlns:a16="http://schemas.microsoft.com/office/drawing/2014/main" id="{9AE6F30F-C426-5745-91D3-614ED0AAEC37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51</xdr:row>
      <xdr:rowOff>0</xdr:rowOff>
    </xdr:from>
    <xdr:to>
      <xdr:col>11</xdr:col>
      <xdr:colOff>25400</xdr:colOff>
      <xdr:row>51</xdr:row>
      <xdr:rowOff>0</xdr:rowOff>
    </xdr:to>
    <xdr:sp macro="" textlink="">
      <xdr:nvSpPr>
        <xdr:cNvPr id="124830" name="Line 59765">
          <a:extLst>
            <a:ext uri="{FF2B5EF4-FFF2-40B4-BE49-F238E27FC236}">
              <a16:creationId xmlns="" xmlns:a16="http://schemas.microsoft.com/office/drawing/2014/main" id="{8C98C7DD-6873-57BD-D0B6-A412B565DB6D}"/>
            </a:ext>
          </a:extLst>
        </xdr:cNvPr>
        <xdr:cNvSpPr>
          <a:spLocks noChangeShapeType="1"/>
        </xdr:cNvSpPr>
      </xdr:nvSpPr>
      <xdr:spPr bwMode="auto">
        <a:xfrm>
          <a:off x="317500" y="127000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19050</xdr:rowOff>
    </xdr:from>
    <xdr:to>
      <xdr:col>5</xdr:col>
      <xdr:colOff>0</xdr:colOff>
      <xdr:row>51</xdr:row>
      <xdr:rowOff>209550</xdr:rowOff>
    </xdr:to>
    <xdr:sp macro="" textlink="">
      <xdr:nvSpPr>
        <xdr:cNvPr id="124831" name="Line 59766">
          <a:extLst>
            <a:ext uri="{FF2B5EF4-FFF2-40B4-BE49-F238E27FC236}">
              <a16:creationId xmlns="" xmlns:a16="http://schemas.microsoft.com/office/drawing/2014/main" id="{C24ED2B9-AC92-ED75-BF95-7AAD20912096}"/>
            </a:ext>
          </a:extLst>
        </xdr:cNvPr>
        <xdr:cNvSpPr>
          <a:spLocks noChangeShapeType="1"/>
        </xdr:cNvSpPr>
      </xdr:nvSpPr>
      <xdr:spPr bwMode="auto">
        <a:xfrm>
          <a:off x="920750" y="12719050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32" name="Line 59406">
          <a:extLst>
            <a:ext uri="{FF2B5EF4-FFF2-40B4-BE49-F238E27FC236}">
              <a16:creationId xmlns="" xmlns:a16="http://schemas.microsoft.com/office/drawing/2014/main" id="{81CBFEC8-E7A8-6C4B-E2A1-A9B74F807796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4833" name="Line 59407">
          <a:extLst>
            <a:ext uri="{FF2B5EF4-FFF2-40B4-BE49-F238E27FC236}">
              <a16:creationId xmlns="" xmlns:a16="http://schemas.microsoft.com/office/drawing/2014/main" id="{75DD6D44-6817-570B-4E21-B5A4BF40D793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34" name="Line 59426">
          <a:extLst>
            <a:ext uri="{FF2B5EF4-FFF2-40B4-BE49-F238E27FC236}">
              <a16:creationId xmlns="" xmlns:a16="http://schemas.microsoft.com/office/drawing/2014/main" id="{4344FF16-C11F-DC0D-0F64-F53B655739BE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4835" name="Line 59427">
          <a:extLst>
            <a:ext uri="{FF2B5EF4-FFF2-40B4-BE49-F238E27FC236}">
              <a16:creationId xmlns="" xmlns:a16="http://schemas.microsoft.com/office/drawing/2014/main" id="{69DD3E40-09AE-E33E-CDA2-3C868C19238F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36" name="Line 59446">
          <a:extLst>
            <a:ext uri="{FF2B5EF4-FFF2-40B4-BE49-F238E27FC236}">
              <a16:creationId xmlns="" xmlns:a16="http://schemas.microsoft.com/office/drawing/2014/main" id="{541F08A3-7CBA-3DE4-A841-848E5484AD79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4837" name="Line 59447">
          <a:extLst>
            <a:ext uri="{FF2B5EF4-FFF2-40B4-BE49-F238E27FC236}">
              <a16:creationId xmlns="" xmlns:a16="http://schemas.microsoft.com/office/drawing/2014/main" id="{233C0114-9364-3784-3F8C-3E27CC30B02F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38" name="Line 59466">
          <a:extLst>
            <a:ext uri="{FF2B5EF4-FFF2-40B4-BE49-F238E27FC236}">
              <a16:creationId xmlns="" xmlns:a16="http://schemas.microsoft.com/office/drawing/2014/main" id="{69E4A128-2C96-E360-7E53-2BD44B478A34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4839" name="Line 59467">
          <a:extLst>
            <a:ext uri="{FF2B5EF4-FFF2-40B4-BE49-F238E27FC236}">
              <a16:creationId xmlns="" xmlns:a16="http://schemas.microsoft.com/office/drawing/2014/main" id="{F700FF77-3F5C-67C2-123B-3C5CD48D1C8D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40" name="Line 59486">
          <a:extLst>
            <a:ext uri="{FF2B5EF4-FFF2-40B4-BE49-F238E27FC236}">
              <a16:creationId xmlns="" xmlns:a16="http://schemas.microsoft.com/office/drawing/2014/main" id="{6DC7F4C0-B24B-9B4F-0D80-41DD1DBAC8AF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4841" name="Line 59487">
          <a:extLst>
            <a:ext uri="{FF2B5EF4-FFF2-40B4-BE49-F238E27FC236}">
              <a16:creationId xmlns="" xmlns:a16="http://schemas.microsoft.com/office/drawing/2014/main" id="{4DB63288-29C1-F878-234E-BF063813609C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42" name="Line 59508">
          <a:extLst>
            <a:ext uri="{FF2B5EF4-FFF2-40B4-BE49-F238E27FC236}">
              <a16:creationId xmlns="" xmlns:a16="http://schemas.microsoft.com/office/drawing/2014/main" id="{59251E32-3813-5463-1723-B002004E6123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4843" name="Line 59509">
          <a:extLst>
            <a:ext uri="{FF2B5EF4-FFF2-40B4-BE49-F238E27FC236}">
              <a16:creationId xmlns="" xmlns:a16="http://schemas.microsoft.com/office/drawing/2014/main" id="{376A3933-4FC9-8302-309E-DE1EFB454EBE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44" name="Line 59510">
          <a:extLst>
            <a:ext uri="{FF2B5EF4-FFF2-40B4-BE49-F238E27FC236}">
              <a16:creationId xmlns="" xmlns:a16="http://schemas.microsoft.com/office/drawing/2014/main" id="{C15CFAD3-882F-EA8A-2C74-11EEC930181B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4845" name="Line 59511">
          <a:extLst>
            <a:ext uri="{FF2B5EF4-FFF2-40B4-BE49-F238E27FC236}">
              <a16:creationId xmlns="" xmlns:a16="http://schemas.microsoft.com/office/drawing/2014/main" id="{2EB12109-8F84-9B51-725E-420C98DA7046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46" name="Line 59512">
          <a:extLst>
            <a:ext uri="{FF2B5EF4-FFF2-40B4-BE49-F238E27FC236}">
              <a16:creationId xmlns="" xmlns:a16="http://schemas.microsoft.com/office/drawing/2014/main" id="{8F41D08F-78F9-EFD4-17C1-15D13685894A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4847" name="Line 59513">
          <a:extLst>
            <a:ext uri="{FF2B5EF4-FFF2-40B4-BE49-F238E27FC236}">
              <a16:creationId xmlns="" xmlns:a16="http://schemas.microsoft.com/office/drawing/2014/main" id="{75F25814-41F5-8235-B145-DF8A043852DC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48" name="Line 59402">
          <a:extLst>
            <a:ext uri="{FF2B5EF4-FFF2-40B4-BE49-F238E27FC236}">
              <a16:creationId xmlns="" xmlns:a16="http://schemas.microsoft.com/office/drawing/2014/main" id="{EDDBB7C2-E2A5-CD82-75B5-34A4213B2E0E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4849" name="Line 59403">
          <a:extLst>
            <a:ext uri="{FF2B5EF4-FFF2-40B4-BE49-F238E27FC236}">
              <a16:creationId xmlns="" xmlns:a16="http://schemas.microsoft.com/office/drawing/2014/main" id="{65DFE439-0677-47E9-4AFB-2EB0C5D7682B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50" name="Line 59422">
          <a:extLst>
            <a:ext uri="{FF2B5EF4-FFF2-40B4-BE49-F238E27FC236}">
              <a16:creationId xmlns="" xmlns:a16="http://schemas.microsoft.com/office/drawing/2014/main" id="{20FE9CF9-E61F-983B-E6C0-03025D010BD1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4851" name="Line 59423">
          <a:extLst>
            <a:ext uri="{FF2B5EF4-FFF2-40B4-BE49-F238E27FC236}">
              <a16:creationId xmlns="" xmlns:a16="http://schemas.microsoft.com/office/drawing/2014/main" id="{575522DF-03B1-D7D2-36D4-34640234EA0A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52" name="Line 59442">
          <a:extLst>
            <a:ext uri="{FF2B5EF4-FFF2-40B4-BE49-F238E27FC236}">
              <a16:creationId xmlns="" xmlns:a16="http://schemas.microsoft.com/office/drawing/2014/main" id="{F7FD9FF2-E909-CABF-7E2B-C1C9C1C0A8E6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4853" name="Line 59443">
          <a:extLst>
            <a:ext uri="{FF2B5EF4-FFF2-40B4-BE49-F238E27FC236}">
              <a16:creationId xmlns="" xmlns:a16="http://schemas.microsoft.com/office/drawing/2014/main" id="{EE99CD27-22B0-9D61-9BCC-9A46A1826E8C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54" name="Line 59462">
          <a:extLst>
            <a:ext uri="{FF2B5EF4-FFF2-40B4-BE49-F238E27FC236}">
              <a16:creationId xmlns="" xmlns:a16="http://schemas.microsoft.com/office/drawing/2014/main" id="{6BC1FF30-2B58-9F7D-A449-CCC43992CF1D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4855" name="Line 59463">
          <a:extLst>
            <a:ext uri="{FF2B5EF4-FFF2-40B4-BE49-F238E27FC236}">
              <a16:creationId xmlns="" xmlns:a16="http://schemas.microsoft.com/office/drawing/2014/main" id="{B3953D6C-6B52-B058-5321-117EF4945C02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56" name="Line 59482">
          <a:extLst>
            <a:ext uri="{FF2B5EF4-FFF2-40B4-BE49-F238E27FC236}">
              <a16:creationId xmlns="" xmlns:a16="http://schemas.microsoft.com/office/drawing/2014/main" id="{0855EA3C-E109-F0A2-CF36-663FD76413A5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4857" name="Line 59483">
          <a:extLst>
            <a:ext uri="{FF2B5EF4-FFF2-40B4-BE49-F238E27FC236}">
              <a16:creationId xmlns="" xmlns:a16="http://schemas.microsoft.com/office/drawing/2014/main" id="{968A500B-BF00-5E74-4629-0B632C76F91B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858" name="Line 59502">
          <a:extLst>
            <a:ext uri="{FF2B5EF4-FFF2-40B4-BE49-F238E27FC236}">
              <a16:creationId xmlns="" xmlns:a16="http://schemas.microsoft.com/office/drawing/2014/main" id="{61001103-FEB5-5DD4-1E7C-F211D0030C53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4859" name="Line 59503">
          <a:extLst>
            <a:ext uri="{FF2B5EF4-FFF2-40B4-BE49-F238E27FC236}">
              <a16:creationId xmlns="" xmlns:a16="http://schemas.microsoft.com/office/drawing/2014/main" id="{0F139C94-23A9-36AA-7D50-000538AFB792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0</xdr:rowOff>
    </xdr:from>
    <xdr:to>
      <xdr:col>5</xdr:col>
      <xdr:colOff>0</xdr:colOff>
      <xdr:row>62</xdr:row>
      <xdr:rowOff>0</xdr:rowOff>
    </xdr:to>
    <xdr:sp macro="" textlink="">
      <xdr:nvSpPr>
        <xdr:cNvPr id="124889" name="Line 59407">
          <a:extLst>
            <a:ext uri="{FF2B5EF4-FFF2-40B4-BE49-F238E27FC236}">
              <a16:creationId xmlns="" xmlns:a16="http://schemas.microsoft.com/office/drawing/2014/main" id="{07BF033E-3878-BF11-FB9B-CAEB80CA1E86}"/>
            </a:ext>
          </a:extLst>
        </xdr:cNvPr>
        <xdr:cNvSpPr>
          <a:spLocks noChangeShapeType="1"/>
        </xdr:cNvSpPr>
      </xdr:nvSpPr>
      <xdr:spPr bwMode="auto">
        <a:xfrm>
          <a:off x="920750" y="196151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0</xdr:rowOff>
    </xdr:from>
    <xdr:to>
      <xdr:col>5</xdr:col>
      <xdr:colOff>0</xdr:colOff>
      <xdr:row>62</xdr:row>
      <xdr:rowOff>0</xdr:rowOff>
    </xdr:to>
    <xdr:sp macro="" textlink="">
      <xdr:nvSpPr>
        <xdr:cNvPr id="124891" name="Line 59427">
          <a:extLst>
            <a:ext uri="{FF2B5EF4-FFF2-40B4-BE49-F238E27FC236}">
              <a16:creationId xmlns="" xmlns:a16="http://schemas.microsoft.com/office/drawing/2014/main" id="{8D410CAD-3C0C-CE34-343B-CBDB3C05381F}"/>
            </a:ext>
          </a:extLst>
        </xdr:cNvPr>
        <xdr:cNvSpPr>
          <a:spLocks noChangeShapeType="1"/>
        </xdr:cNvSpPr>
      </xdr:nvSpPr>
      <xdr:spPr bwMode="auto">
        <a:xfrm>
          <a:off x="920750" y="196151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0</xdr:rowOff>
    </xdr:from>
    <xdr:to>
      <xdr:col>5</xdr:col>
      <xdr:colOff>0</xdr:colOff>
      <xdr:row>62</xdr:row>
      <xdr:rowOff>0</xdr:rowOff>
    </xdr:to>
    <xdr:sp macro="" textlink="">
      <xdr:nvSpPr>
        <xdr:cNvPr id="124893" name="Line 59447">
          <a:extLst>
            <a:ext uri="{FF2B5EF4-FFF2-40B4-BE49-F238E27FC236}">
              <a16:creationId xmlns="" xmlns:a16="http://schemas.microsoft.com/office/drawing/2014/main" id="{956BE492-1C32-F273-ACF1-DE9356A01165}"/>
            </a:ext>
          </a:extLst>
        </xdr:cNvPr>
        <xdr:cNvSpPr>
          <a:spLocks noChangeShapeType="1"/>
        </xdr:cNvSpPr>
      </xdr:nvSpPr>
      <xdr:spPr bwMode="auto">
        <a:xfrm>
          <a:off x="920750" y="196151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0</xdr:rowOff>
    </xdr:from>
    <xdr:to>
      <xdr:col>5</xdr:col>
      <xdr:colOff>0</xdr:colOff>
      <xdr:row>62</xdr:row>
      <xdr:rowOff>0</xdr:rowOff>
    </xdr:to>
    <xdr:sp macro="" textlink="">
      <xdr:nvSpPr>
        <xdr:cNvPr id="124895" name="Line 59467">
          <a:extLst>
            <a:ext uri="{FF2B5EF4-FFF2-40B4-BE49-F238E27FC236}">
              <a16:creationId xmlns="" xmlns:a16="http://schemas.microsoft.com/office/drawing/2014/main" id="{BF3B02FA-D1C9-1C02-89F1-FF0A53CA06CF}"/>
            </a:ext>
          </a:extLst>
        </xdr:cNvPr>
        <xdr:cNvSpPr>
          <a:spLocks noChangeShapeType="1"/>
        </xdr:cNvSpPr>
      </xdr:nvSpPr>
      <xdr:spPr bwMode="auto">
        <a:xfrm>
          <a:off x="920750" y="196151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0</xdr:rowOff>
    </xdr:from>
    <xdr:to>
      <xdr:col>5</xdr:col>
      <xdr:colOff>0</xdr:colOff>
      <xdr:row>62</xdr:row>
      <xdr:rowOff>0</xdr:rowOff>
    </xdr:to>
    <xdr:sp macro="" textlink="">
      <xdr:nvSpPr>
        <xdr:cNvPr id="124897" name="Line 59487">
          <a:extLst>
            <a:ext uri="{FF2B5EF4-FFF2-40B4-BE49-F238E27FC236}">
              <a16:creationId xmlns="" xmlns:a16="http://schemas.microsoft.com/office/drawing/2014/main" id="{15BAA620-A664-B5C4-87E7-DCA883EBE487}"/>
            </a:ext>
          </a:extLst>
        </xdr:cNvPr>
        <xdr:cNvSpPr>
          <a:spLocks noChangeShapeType="1"/>
        </xdr:cNvSpPr>
      </xdr:nvSpPr>
      <xdr:spPr bwMode="auto">
        <a:xfrm>
          <a:off x="920750" y="196151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0</xdr:rowOff>
    </xdr:from>
    <xdr:to>
      <xdr:col>5</xdr:col>
      <xdr:colOff>0</xdr:colOff>
      <xdr:row>62</xdr:row>
      <xdr:rowOff>0</xdr:rowOff>
    </xdr:to>
    <xdr:sp macro="" textlink="">
      <xdr:nvSpPr>
        <xdr:cNvPr id="124899" name="Line 59509">
          <a:extLst>
            <a:ext uri="{FF2B5EF4-FFF2-40B4-BE49-F238E27FC236}">
              <a16:creationId xmlns="" xmlns:a16="http://schemas.microsoft.com/office/drawing/2014/main" id="{BDB59A19-1372-D7A6-BD81-8680735981F6}"/>
            </a:ext>
          </a:extLst>
        </xdr:cNvPr>
        <xdr:cNvSpPr>
          <a:spLocks noChangeShapeType="1"/>
        </xdr:cNvSpPr>
      </xdr:nvSpPr>
      <xdr:spPr bwMode="auto">
        <a:xfrm>
          <a:off x="920750" y="196151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0</xdr:rowOff>
    </xdr:from>
    <xdr:to>
      <xdr:col>5</xdr:col>
      <xdr:colOff>0</xdr:colOff>
      <xdr:row>62</xdr:row>
      <xdr:rowOff>0</xdr:rowOff>
    </xdr:to>
    <xdr:sp macro="" textlink="">
      <xdr:nvSpPr>
        <xdr:cNvPr id="124901" name="Line 59511">
          <a:extLst>
            <a:ext uri="{FF2B5EF4-FFF2-40B4-BE49-F238E27FC236}">
              <a16:creationId xmlns="" xmlns:a16="http://schemas.microsoft.com/office/drawing/2014/main" id="{C59FB810-3AA1-0DB0-1892-1DA8C75A738C}"/>
            </a:ext>
          </a:extLst>
        </xdr:cNvPr>
        <xdr:cNvSpPr>
          <a:spLocks noChangeShapeType="1"/>
        </xdr:cNvSpPr>
      </xdr:nvSpPr>
      <xdr:spPr bwMode="auto">
        <a:xfrm>
          <a:off x="920750" y="196151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0</xdr:rowOff>
    </xdr:from>
    <xdr:to>
      <xdr:col>5</xdr:col>
      <xdr:colOff>0</xdr:colOff>
      <xdr:row>62</xdr:row>
      <xdr:rowOff>0</xdr:rowOff>
    </xdr:to>
    <xdr:sp macro="" textlink="">
      <xdr:nvSpPr>
        <xdr:cNvPr id="124903" name="Line 59513">
          <a:extLst>
            <a:ext uri="{FF2B5EF4-FFF2-40B4-BE49-F238E27FC236}">
              <a16:creationId xmlns="" xmlns:a16="http://schemas.microsoft.com/office/drawing/2014/main" id="{18C70EF7-08FD-9053-C4D7-6F2138E3DAEF}"/>
            </a:ext>
          </a:extLst>
        </xdr:cNvPr>
        <xdr:cNvSpPr>
          <a:spLocks noChangeShapeType="1"/>
        </xdr:cNvSpPr>
      </xdr:nvSpPr>
      <xdr:spPr bwMode="auto">
        <a:xfrm>
          <a:off x="920750" y="196151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15" name="Line 59406">
          <a:extLst>
            <a:ext uri="{FF2B5EF4-FFF2-40B4-BE49-F238E27FC236}">
              <a16:creationId xmlns="" xmlns:a16="http://schemas.microsoft.com/office/drawing/2014/main" id="{68485265-477D-293E-5502-C2A5A43A46FE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4916" name="Line 59407">
          <a:extLst>
            <a:ext uri="{FF2B5EF4-FFF2-40B4-BE49-F238E27FC236}">
              <a16:creationId xmlns="" xmlns:a16="http://schemas.microsoft.com/office/drawing/2014/main" id="{73F9F5CD-8770-EC80-9F8C-353E6C7853E0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17" name="Line 59426">
          <a:extLst>
            <a:ext uri="{FF2B5EF4-FFF2-40B4-BE49-F238E27FC236}">
              <a16:creationId xmlns="" xmlns:a16="http://schemas.microsoft.com/office/drawing/2014/main" id="{BCCB389E-F691-B088-B09C-8CCD879225A1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4918" name="Line 59427">
          <a:extLst>
            <a:ext uri="{FF2B5EF4-FFF2-40B4-BE49-F238E27FC236}">
              <a16:creationId xmlns="" xmlns:a16="http://schemas.microsoft.com/office/drawing/2014/main" id="{6D5D320A-7FD9-EE29-5D9C-A30BA83B8A43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19" name="Line 59446">
          <a:extLst>
            <a:ext uri="{FF2B5EF4-FFF2-40B4-BE49-F238E27FC236}">
              <a16:creationId xmlns="" xmlns:a16="http://schemas.microsoft.com/office/drawing/2014/main" id="{F1E96D86-C66F-F5E3-AC64-E93184DE3590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4920" name="Line 59447">
          <a:extLst>
            <a:ext uri="{FF2B5EF4-FFF2-40B4-BE49-F238E27FC236}">
              <a16:creationId xmlns="" xmlns:a16="http://schemas.microsoft.com/office/drawing/2014/main" id="{BEB104A7-DF8D-5F6E-1168-C67DB1C41C51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21" name="Line 59466">
          <a:extLst>
            <a:ext uri="{FF2B5EF4-FFF2-40B4-BE49-F238E27FC236}">
              <a16:creationId xmlns="" xmlns:a16="http://schemas.microsoft.com/office/drawing/2014/main" id="{4F7F1584-9E23-2196-0CFC-86A92EBE1819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4922" name="Line 59467">
          <a:extLst>
            <a:ext uri="{FF2B5EF4-FFF2-40B4-BE49-F238E27FC236}">
              <a16:creationId xmlns="" xmlns:a16="http://schemas.microsoft.com/office/drawing/2014/main" id="{C527F39E-107E-B558-74A9-E066808899FD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23" name="Line 59486">
          <a:extLst>
            <a:ext uri="{FF2B5EF4-FFF2-40B4-BE49-F238E27FC236}">
              <a16:creationId xmlns="" xmlns:a16="http://schemas.microsoft.com/office/drawing/2014/main" id="{EA91CA56-AA02-D525-E2F0-2D2CC9D41B3E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4924" name="Line 59487">
          <a:extLst>
            <a:ext uri="{FF2B5EF4-FFF2-40B4-BE49-F238E27FC236}">
              <a16:creationId xmlns="" xmlns:a16="http://schemas.microsoft.com/office/drawing/2014/main" id="{45103A4A-9D3D-E626-BF90-D20F6D30ED60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25" name="Line 59508">
          <a:extLst>
            <a:ext uri="{FF2B5EF4-FFF2-40B4-BE49-F238E27FC236}">
              <a16:creationId xmlns="" xmlns:a16="http://schemas.microsoft.com/office/drawing/2014/main" id="{60BBD855-37AA-3004-7BEB-0E1158C4B249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4926" name="Line 59509">
          <a:extLst>
            <a:ext uri="{FF2B5EF4-FFF2-40B4-BE49-F238E27FC236}">
              <a16:creationId xmlns="" xmlns:a16="http://schemas.microsoft.com/office/drawing/2014/main" id="{BB82ABD7-8358-5D38-E8C8-32BD71AEC26A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27" name="Line 59510">
          <a:extLst>
            <a:ext uri="{FF2B5EF4-FFF2-40B4-BE49-F238E27FC236}">
              <a16:creationId xmlns="" xmlns:a16="http://schemas.microsoft.com/office/drawing/2014/main" id="{3EAFD521-8E46-75CA-1E35-D3B7F0C72581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4928" name="Line 59511">
          <a:extLst>
            <a:ext uri="{FF2B5EF4-FFF2-40B4-BE49-F238E27FC236}">
              <a16:creationId xmlns="" xmlns:a16="http://schemas.microsoft.com/office/drawing/2014/main" id="{6D32CBBB-FE55-0846-5DA6-2D829AF44A07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29" name="Line 59512">
          <a:extLst>
            <a:ext uri="{FF2B5EF4-FFF2-40B4-BE49-F238E27FC236}">
              <a16:creationId xmlns="" xmlns:a16="http://schemas.microsoft.com/office/drawing/2014/main" id="{D0360C60-05D3-9BAD-9068-E8F9444AFD87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4930" name="Line 59513">
          <a:extLst>
            <a:ext uri="{FF2B5EF4-FFF2-40B4-BE49-F238E27FC236}">
              <a16:creationId xmlns="" xmlns:a16="http://schemas.microsoft.com/office/drawing/2014/main" id="{19261103-0E26-B4E9-40D8-785F1907E5CB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31" name="Line 59402">
          <a:extLst>
            <a:ext uri="{FF2B5EF4-FFF2-40B4-BE49-F238E27FC236}">
              <a16:creationId xmlns="" xmlns:a16="http://schemas.microsoft.com/office/drawing/2014/main" id="{A79A9620-8406-3211-8B53-E57F3E5BBFD1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4932" name="Line 59403">
          <a:extLst>
            <a:ext uri="{FF2B5EF4-FFF2-40B4-BE49-F238E27FC236}">
              <a16:creationId xmlns="" xmlns:a16="http://schemas.microsoft.com/office/drawing/2014/main" id="{05147E7C-9BF7-9747-D5C6-391004FF6F48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33" name="Line 59422">
          <a:extLst>
            <a:ext uri="{FF2B5EF4-FFF2-40B4-BE49-F238E27FC236}">
              <a16:creationId xmlns="" xmlns:a16="http://schemas.microsoft.com/office/drawing/2014/main" id="{433E704D-5363-58B5-5240-C129DBDC57FE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4934" name="Line 59423">
          <a:extLst>
            <a:ext uri="{FF2B5EF4-FFF2-40B4-BE49-F238E27FC236}">
              <a16:creationId xmlns="" xmlns:a16="http://schemas.microsoft.com/office/drawing/2014/main" id="{0CA6B9A6-D19B-65D8-9956-1CCFD96A428B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35" name="Line 59442">
          <a:extLst>
            <a:ext uri="{FF2B5EF4-FFF2-40B4-BE49-F238E27FC236}">
              <a16:creationId xmlns="" xmlns:a16="http://schemas.microsoft.com/office/drawing/2014/main" id="{EB114C35-DDA0-D8D8-F1F1-6712D07BECB3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4936" name="Line 59443">
          <a:extLst>
            <a:ext uri="{FF2B5EF4-FFF2-40B4-BE49-F238E27FC236}">
              <a16:creationId xmlns="" xmlns:a16="http://schemas.microsoft.com/office/drawing/2014/main" id="{23D00DEF-5645-C94B-1C0C-884DBE54978D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37" name="Line 59462">
          <a:extLst>
            <a:ext uri="{FF2B5EF4-FFF2-40B4-BE49-F238E27FC236}">
              <a16:creationId xmlns="" xmlns:a16="http://schemas.microsoft.com/office/drawing/2014/main" id="{C5A34D2B-4E31-4C24-8273-A264F74CBA0B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4938" name="Line 59463">
          <a:extLst>
            <a:ext uri="{FF2B5EF4-FFF2-40B4-BE49-F238E27FC236}">
              <a16:creationId xmlns="" xmlns:a16="http://schemas.microsoft.com/office/drawing/2014/main" id="{5D6B4823-EEBF-08F0-E20C-F558B7642E0B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39" name="Line 59482">
          <a:extLst>
            <a:ext uri="{FF2B5EF4-FFF2-40B4-BE49-F238E27FC236}">
              <a16:creationId xmlns="" xmlns:a16="http://schemas.microsoft.com/office/drawing/2014/main" id="{E37AD496-D8E3-B928-6C8A-EA08A6E9305D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4940" name="Line 59483">
          <a:extLst>
            <a:ext uri="{FF2B5EF4-FFF2-40B4-BE49-F238E27FC236}">
              <a16:creationId xmlns="" xmlns:a16="http://schemas.microsoft.com/office/drawing/2014/main" id="{9E055161-4892-5E7B-33B4-63E3C66075DD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4941" name="Line 59502">
          <a:extLst>
            <a:ext uri="{FF2B5EF4-FFF2-40B4-BE49-F238E27FC236}">
              <a16:creationId xmlns="" xmlns:a16="http://schemas.microsoft.com/office/drawing/2014/main" id="{057731A0-2FBF-659B-020A-C444D55A8D7F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4942" name="Line 59503">
          <a:extLst>
            <a:ext uri="{FF2B5EF4-FFF2-40B4-BE49-F238E27FC236}">
              <a16:creationId xmlns="" xmlns:a16="http://schemas.microsoft.com/office/drawing/2014/main" id="{DC975018-43B9-2FBC-DACB-3DAE7F764B3A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43" name="Line 59406">
          <a:extLst>
            <a:ext uri="{FF2B5EF4-FFF2-40B4-BE49-F238E27FC236}">
              <a16:creationId xmlns="" xmlns:a16="http://schemas.microsoft.com/office/drawing/2014/main" id="{2A72A33F-0755-5340-CF03-B9C4FC5C3E6B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4944" name="Line 59407">
          <a:extLst>
            <a:ext uri="{FF2B5EF4-FFF2-40B4-BE49-F238E27FC236}">
              <a16:creationId xmlns="" xmlns:a16="http://schemas.microsoft.com/office/drawing/2014/main" id="{2E2C537D-2A6B-0D08-7F4E-08A1AD914425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45" name="Line 59426">
          <a:extLst>
            <a:ext uri="{FF2B5EF4-FFF2-40B4-BE49-F238E27FC236}">
              <a16:creationId xmlns="" xmlns:a16="http://schemas.microsoft.com/office/drawing/2014/main" id="{626ED1BC-87F7-C91C-D1C5-BC43201193EF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4946" name="Line 59427">
          <a:extLst>
            <a:ext uri="{FF2B5EF4-FFF2-40B4-BE49-F238E27FC236}">
              <a16:creationId xmlns="" xmlns:a16="http://schemas.microsoft.com/office/drawing/2014/main" id="{BF75709F-FA15-4A90-B064-6B233F06B742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47" name="Line 59446">
          <a:extLst>
            <a:ext uri="{FF2B5EF4-FFF2-40B4-BE49-F238E27FC236}">
              <a16:creationId xmlns="" xmlns:a16="http://schemas.microsoft.com/office/drawing/2014/main" id="{390E8AD0-110E-B318-69DD-0C7265506CA5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4948" name="Line 59447">
          <a:extLst>
            <a:ext uri="{FF2B5EF4-FFF2-40B4-BE49-F238E27FC236}">
              <a16:creationId xmlns="" xmlns:a16="http://schemas.microsoft.com/office/drawing/2014/main" id="{63590308-75C2-70DD-6E18-6878D84BB578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49" name="Line 59466">
          <a:extLst>
            <a:ext uri="{FF2B5EF4-FFF2-40B4-BE49-F238E27FC236}">
              <a16:creationId xmlns="" xmlns:a16="http://schemas.microsoft.com/office/drawing/2014/main" id="{2ABA2B18-3CF0-9A1D-DF64-3A3AA1351B1E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4950" name="Line 59467">
          <a:extLst>
            <a:ext uri="{FF2B5EF4-FFF2-40B4-BE49-F238E27FC236}">
              <a16:creationId xmlns="" xmlns:a16="http://schemas.microsoft.com/office/drawing/2014/main" id="{A87E844E-5956-92C1-67CA-04A54CBCEA68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51" name="Line 59486">
          <a:extLst>
            <a:ext uri="{FF2B5EF4-FFF2-40B4-BE49-F238E27FC236}">
              <a16:creationId xmlns="" xmlns:a16="http://schemas.microsoft.com/office/drawing/2014/main" id="{90C4696B-EF71-1DE6-6563-3148AF3884DB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4952" name="Line 59487">
          <a:extLst>
            <a:ext uri="{FF2B5EF4-FFF2-40B4-BE49-F238E27FC236}">
              <a16:creationId xmlns="" xmlns:a16="http://schemas.microsoft.com/office/drawing/2014/main" id="{759A3706-0BBC-336B-A869-A5CF4B59405D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53" name="Line 59508">
          <a:extLst>
            <a:ext uri="{FF2B5EF4-FFF2-40B4-BE49-F238E27FC236}">
              <a16:creationId xmlns="" xmlns:a16="http://schemas.microsoft.com/office/drawing/2014/main" id="{A380613B-3B95-42D1-DD39-F796C82E37AA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4954" name="Line 59509">
          <a:extLst>
            <a:ext uri="{FF2B5EF4-FFF2-40B4-BE49-F238E27FC236}">
              <a16:creationId xmlns="" xmlns:a16="http://schemas.microsoft.com/office/drawing/2014/main" id="{E98418FE-FCA5-2F2B-394E-537EE6F6A4AA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55" name="Line 59510">
          <a:extLst>
            <a:ext uri="{FF2B5EF4-FFF2-40B4-BE49-F238E27FC236}">
              <a16:creationId xmlns="" xmlns:a16="http://schemas.microsoft.com/office/drawing/2014/main" id="{55BA1FCC-2B45-D58E-C271-CB3A92599498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4956" name="Line 59511">
          <a:extLst>
            <a:ext uri="{FF2B5EF4-FFF2-40B4-BE49-F238E27FC236}">
              <a16:creationId xmlns="" xmlns:a16="http://schemas.microsoft.com/office/drawing/2014/main" id="{9DE2D1A7-81AF-D115-BF65-7D9D2F1F31F1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57" name="Line 59512">
          <a:extLst>
            <a:ext uri="{FF2B5EF4-FFF2-40B4-BE49-F238E27FC236}">
              <a16:creationId xmlns="" xmlns:a16="http://schemas.microsoft.com/office/drawing/2014/main" id="{E2B5B5CA-A75B-D108-FB16-265F5228FBF0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4958" name="Line 59513">
          <a:extLst>
            <a:ext uri="{FF2B5EF4-FFF2-40B4-BE49-F238E27FC236}">
              <a16:creationId xmlns="" xmlns:a16="http://schemas.microsoft.com/office/drawing/2014/main" id="{7DDE8ED2-ABA0-A5DD-8B77-0D4701D831C9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59" name="Line 59402">
          <a:extLst>
            <a:ext uri="{FF2B5EF4-FFF2-40B4-BE49-F238E27FC236}">
              <a16:creationId xmlns="" xmlns:a16="http://schemas.microsoft.com/office/drawing/2014/main" id="{FC9C89BC-F579-9808-7998-FA006BABDF36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4960" name="Line 59403">
          <a:extLst>
            <a:ext uri="{FF2B5EF4-FFF2-40B4-BE49-F238E27FC236}">
              <a16:creationId xmlns="" xmlns:a16="http://schemas.microsoft.com/office/drawing/2014/main" id="{27E4F161-4A5E-A49B-08F1-18DB02B2B355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61" name="Line 59422">
          <a:extLst>
            <a:ext uri="{FF2B5EF4-FFF2-40B4-BE49-F238E27FC236}">
              <a16:creationId xmlns="" xmlns:a16="http://schemas.microsoft.com/office/drawing/2014/main" id="{A658D01B-271C-7146-CA0E-FB0A1D468350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4962" name="Line 59423">
          <a:extLst>
            <a:ext uri="{FF2B5EF4-FFF2-40B4-BE49-F238E27FC236}">
              <a16:creationId xmlns="" xmlns:a16="http://schemas.microsoft.com/office/drawing/2014/main" id="{2C7E831F-C779-D629-5B52-CAEA3BB76ADD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63" name="Line 59442">
          <a:extLst>
            <a:ext uri="{FF2B5EF4-FFF2-40B4-BE49-F238E27FC236}">
              <a16:creationId xmlns="" xmlns:a16="http://schemas.microsoft.com/office/drawing/2014/main" id="{0E6E2DA9-47E4-7390-E9CB-D35631E7FEAE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4964" name="Line 59443">
          <a:extLst>
            <a:ext uri="{FF2B5EF4-FFF2-40B4-BE49-F238E27FC236}">
              <a16:creationId xmlns="" xmlns:a16="http://schemas.microsoft.com/office/drawing/2014/main" id="{627BE858-950A-C2AF-1D07-912E19ACAF1D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65" name="Line 59462">
          <a:extLst>
            <a:ext uri="{FF2B5EF4-FFF2-40B4-BE49-F238E27FC236}">
              <a16:creationId xmlns="" xmlns:a16="http://schemas.microsoft.com/office/drawing/2014/main" id="{32D028DE-6AC7-9F6C-F7BF-4A322AA17DE5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4966" name="Line 59463">
          <a:extLst>
            <a:ext uri="{FF2B5EF4-FFF2-40B4-BE49-F238E27FC236}">
              <a16:creationId xmlns="" xmlns:a16="http://schemas.microsoft.com/office/drawing/2014/main" id="{8D9E3A75-3041-E36F-8132-0AC65CA6D01E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67" name="Line 59482">
          <a:extLst>
            <a:ext uri="{FF2B5EF4-FFF2-40B4-BE49-F238E27FC236}">
              <a16:creationId xmlns="" xmlns:a16="http://schemas.microsoft.com/office/drawing/2014/main" id="{1730C37F-7572-53EE-E4F7-9261A94073FF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4968" name="Line 59483">
          <a:extLst>
            <a:ext uri="{FF2B5EF4-FFF2-40B4-BE49-F238E27FC236}">
              <a16:creationId xmlns="" xmlns:a16="http://schemas.microsoft.com/office/drawing/2014/main" id="{2188165D-D96E-7755-984C-7974CA74302E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4969" name="Line 59502">
          <a:extLst>
            <a:ext uri="{FF2B5EF4-FFF2-40B4-BE49-F238E27FC236}">
              <a16:creationId xmlns="" xmlns:a16="http://schemas.microsoft.com/office/drawing/2014/main" id="{8F82B0D0-7598-B6AE-4425-95BDFA1264FC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4970" name="Line 59503">
          <a:extLst>
            <a:ext uri="{FF2B5EF4-FFF2-40B4-BE49-F238E27FC236}">
              <a16:creationId xmlns="" xmlns:a16="http://schemas.microsoft.com/office/drawing/2014/main" id="{6BCC7BD4-978E-DE17-26F4-92EF2441395A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71" name="Line 59406">
          <a:extLst>
            <a:ext uri="{FF2B5EF4-FFF2-40B4-BE49-F238E27FC236}">
              <a16:creationId xmlns="" xmlns:a16="http://schemas.microsoft.com/office/drawing/2014/main" id="{8D703765-6F58-9F6C-A289-B0BBA0ABAAE2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972" name="Line 59407">
          <a:extLst>
            <a:ext uri="{FF2B5EF4-FFF2-40B4-BE49-F238E27FC236}">
              <a16:creationId xmlns="" xmlns:a16="http://schemas.microsoft.com/office/drawing/2014/main" id="{358DEB61-EB32-9C6C-76E5-9B5E822CF015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73" name="Line 59426">
          <a:extLst>
            <a:ext uri="{FF2B5EF4-FFF2-40B4-BE49-F238E27FC236}">
              <a16:creationId xmlns="" xmlns:a16="http://schemas.microsoft.com/office/drawing/2014/main" id="{596327BD-90F7-319F-E67F-0C461D5C2241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974" name="Line 59427">
          <a:extLst>
            <a:ext uri="{FF2B5EF4-FFF2-40B4-BE49-F238E27FC236}">
              <a16:creationId xmlns="" xmlns:a16="http://schemas.microsoft.com/office/drawing/2014/main" id="{0C8200D0-1A62-FDEA-52D3-CE14EA39FE48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75" name="Line 59446">
          <a:extLst>
            <a:ext uri="{FF2B5EF4-FFF2-40B4-BE49-F238E27FC236}">
              <a16:creationId xmlns="" xmlns:a16="http://schemas.microsoft.com/office/drawing/2014/main" id="{A9E2FCE1-6AAB-9946-855E-EF6421478233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976" name="Line 59447">
          <a:extLst>
            <a:ext uri="{FF2B5EF4-FFF2-40B4-BE49-F238E27FC236}">
              <a16:creationId xmlns="" xmlns:a16="http://schemas.microsoft.com/office/drawing/2014/main" id="{BB18DDBB-8309-7D28-6FE0-D1878E28A31D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77" name="Line 59466">
          <a:extLst>
            <a:ext uri="{FF2B5EF4-FFF2-40B4-BE49-F238E27FC236}">
              <a16:creationId xmlns="" xmlns:a16="http://schemas.microsoft.com/office/drawing/2014/main" id="{59222BFD-02C0-18D2-165D-E0960E2C444A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978" name="Line 59467">
          <a:extLst>
            <a:ext uri="{FF2B5EF4-FFF2-40B4-BE49-F238E27FC236}">
              <a16:creationId xmlns="" xmlns:a16="http://schemas.microsoft.com/office/drawing/2014/main" id="{724DF289-C942-57F2-9202-A43C2EA24DD1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79" name="Line 59486">
          <a:extLst>
            <a:ext uri="{FF2B5EF4-FFF2-40B4-BE49-F238E27FC236}">
              <a16:creationId xmlns="" xmlns:a16="http://schemas.microsoft.com/office/drawing/2014/main" id="{556CEE6C-88DE-8275-2717-B275550E4DF8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980" name="Line 59487">
          <a:extLst>
            <a:ext uri="{FF2B5EF4-FFF2-40B4-BE49-F238E27FC236}">
              <a16:creationId xmlns="" xmlns:a16="http://schemas.microsoft.com/office/drawing/2014/main" id="{B9079B6C-1964-C55F-62F8-E71CAF5B2A7E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81" name="Line 59508">
          <a:extLst>
            <a:ext uri="{FF2B5EF4-FFF2-40B4-BE49-F238E27FC236}">
              <a16:creationId xmlns="" xmlns:a16="http://schemas.microsoft.com/office/drawing/2014/main" id="{4A549C7E-E45F-2143-0C5A-6ED4A451C786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982" name="Line 59509">
          <a:extLst>
            <a:ext uri="{FF2B5EF4-FFF2-40B4-BE49-F238E27FC236}">
              <a16:creationId xmlns="" xmlns:a16="http://schemas.microsoft.com/office/drawing/2014/main" id="{2A3C15D9-8988-4A1A-A487-1056F6D821F1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83" name="Line 59510">
          <a:extLst>
            <a:ext uri="{FF2B5EF4-FFF2-40B4-BE49-F238E27FC236}">
              <a16:creationId xmlns="" xmlns:a16="http://schemas.microsoft.com/office/drawing/2014/main" id="{44CEC1EA-F47C-D3A8-9D37-982217B9AA89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984" name="Line 59511">
          <a:extLst>
            <a:ext uri="{FF2B5EF4-FFF2-40B4-BE49-F238E27FC236}">
              <a16:creationId xmlns="" xmlns:a16="http://schemas.microsoft.com/office/drawing/2014/main" id="{2A66B3FB-C895-FC4A-DD4B-EEDC99BA59A9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85" name="Line 59512">
          <a:extLst>
            <a:ext uri="{FF2B5EF4-FFF2-40B4-BE49-F238E27FC236}">
              <a16:creationId xmlns="" xmlns:a16="http://schemas.microsoft.com/office/drawing/2014/main" id="{4A6F0AB5-D302-E078-24A3-AB9A0880FEC7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986" name="Line 59513">
          <a:extLst>
            <a:ext uri="{FF2B5EF4-FFF2-40B4-BE49-F238E27FC236}">
              <a16:creationId xmlns="" xmlns:a16="http://schemas.microsoft.com/office/drawing/2014/main" id="{CA19FB29-F791-D726-AB2B-5D62A5D12FC2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87" name="Line 59402">
          <a:extLst>
            <a:ext uri="{FF2B5EF4-FFF2-40B4-BE49-F238E27FC236}">
              <a16:creationId xmlns="" xmlns:a16="http://schemas.microsoft.com/office/drawing/2014/main" id="{C507AC4E-DB0C-0950-B200-B22264738CC5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4988" name="Line 59403">
          <a:extLst>
            <a:ext uri="{FF2B5EF4-FFF2-40B4-BE49-F238E27FC236}">
              <a16:creationId xmlns="" xmlns:a16="http://schemas.microsoft.com/office/drawing/2014/main" id="{42D61693-BBF4-B184-1C89-6D98467ED4AB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89" name="Line 59422">
          <a:extLst>
            <a:ext uri="{FF2B5EF4-FFF2-40B4-BE49-F238E27FC236}">
              <a16:creationId xmlns="" xmlns:a16="http://schemas.microsoft.com/office/drawing/2014/main" id="{146F8239-FE37-AF61-1684-B470659DE529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4990" name="Line 59423">
          <a:extLst>
            <a:ext uri="{FF2B5EF4-FFF2-40B4-BE49-F238E27FC236}">
              <a16:creationId xmlns="" xmlns:a16="http://schemas.microsoft.com/office/drawing/2014/main" id="{CF4F8B51-F5AF-9912-E9C5-F4D35CD80488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91" name="Line 59442">
          <a:extLst>
            <a:ext uri="{FF2B5EF4-FFF2-40B4-BE49-F238E27FC236}">
              <a16:creationId xmlns="" xmlns:a16="http://schemas.microsoft.com/office/drawing/2014/main" id="{F9704379-EF2D-0B19-EC78-D4B431F98F4E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4992" name="Line 59443">
          <a:extLst>
            <a:ext uri="{FF2B5EF4-FFF2-40B4-BE49-F238E27FC236}">
              <a16:creationId xmlns="" xmlns:a16="http://schemas.microsoft.com/office/drawing/2014/main" id="{CB222D72-569F-F6E6-21E8-4F6EF3FE72A2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93" name="Line 59462">
          <a:extLst>
            <a:ext uri="{FF2B5EF4-FFF2-40B4-BE49-F238E27FC236}">
              <a16:creationId xmlns="" xmlns:a16="http://schemas.microsoft.com/office/drawing/2014/main" id="{7D35DC70-30F9-24DB-738E-5005202872B1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4994" name="Line 59463">
          <a:extLst>
            <a:ext uri="{FF2B5EF4-FFF2-40B4-BE49-F238E27FC236}">
              <a16:creationId xmlns="" xmlns:a16="http://schemas.microsoft.com/office/drawing/2014/main" id="{CBDCB60F-334C-B650-9313-BBF5A1CA6E6C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95" name="Line 59482">
          <a:extLst>
            <a:ext uri="{FF2B5EF4-FFF2-40B4-BE49-F238E27FC236}">
              <a16:creationId xmlns="" xmlns:a16="http://schemas.microsoft.com/office/drawing/2014/main" id="{7AA143B7-A8C3-9CAB-7AEA-ED96C7D44E99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4996" name="Line 59483">
          <a:extLst>
            <a:ext uri="{FF2B5EF4-FFF2-40B4-BE49-F238E27FC236}">
              <a16:creationId xmlns="" xmlns:a16="http://schemas.microsoft.com/office/drawing/2014/main" id="{BE966354-9732-B63D-ADC1-D7256DDEE797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4997" name="Line 59502">
          <a:extLst>
            <a:ext uri="{FF2B5EF4-FFF2-40B4-BE49-F238E27FC236}">
              <a16:creationId xmlns="" xmlns:a16="http://schemas.microsoft.com/office/drawing/2014/main" id="{793C24E2-D871-FC80-FA38-C747CF537068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4998" name="Line 59503">
          <a:extLst>
            <a:ext uri="{FF2B5EF4-FFF2-40B4-BE49-F238E27FC236}">
              <a16:creationId xmlns="" xmlns:a16="http://schemas.microsoft.com/office/drawing/2014/main" id="{BB877DC8-435A-0B9B-70E8-38DAA88E9386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4999" name="Line 59406">
          <a:extLst>
            <a:ext uri="{FF2B5EF4-FFF2-40B4-BE49-F238E27FC236}">
              <a16:creationId xmlns="" xmlns:a16="http://schemas.microsoft.com/office/drawing/2014/main" id="{2EBA7582-75CB-B455-AB62-27E54F44D2A0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5000" name="Line 59407">
          <a:extLst>
            <a:ext uri="{FF2B5EF4-FFF2-40B4-BE49-F238E27FC236}">
              <a16:creationId xmlns="" xmlns:a16="http://schemas.microsoft.com/office/drawing/2014/main" id="{AA010BD1-9680-25A1-3FC0-B95FEBE9E93B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01" name="Line 59426">
          <a:extLst>
            <a:ext uri="{FF2B5EF4-FFF2-40B4-BE49-F238E27FC236}">
              <a16:creationId xmlns="" xmlns:a16="http://schemas.microsoft.com/office/drawing/2014/main" id="{FAD92B87-29BD-B8CA-F18E-4D65D029A0FE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5002" name="Line 59427">
          <a:extLst>
            <a:ext uri="{FF2B5EF4-FFF2-40B4-BE49-F238E27FC236}">
              <a16:creationId xmlns="" xmlns:a16="http://schemas.microsoft.com/office/drawing/2014/main" id="{17A1D4EC-0CED-0E3C-C28E-9DBBB3273EA8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03" name="Line 59446">
          <a:extLst>
            <a:ext uri="{FF2B5EF4-FFF2-40B4-BE49-F238E27FC236}">
              <a16:creationId xmlns="" xmlns:a16="http://schemas.microsoft.com/office/drawing/2014/main" id="{97CA5BDA-35BD-B21C-8AC8-E5C1CD514AC0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5004" name="Line 59447">
          <a:extLst>
            <a:ext uri="{FF2B5EF4-FFF2-40B4-BE49-F238E27FC236}">
              <a16:creationId xmlns="" xmlns:a16="http://schemas.microsoft.com/office/drawing/2014/main" id="{597F7D15-CEB7-2DCB-8B6D-8BDAFA8D4C4C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05" name="Line 59466">
          <a:extLst>
            <a:ext uri="{FF2B5EF4-FFF2-40B4-BE49-F238E27FC236}">
              <a16:creationId xmlns="" xmlns:a16="http://schemas.microsoft.com/office/drawing/2014/main" id="{F42B108A-CB0A-45D5-F0A9-0C09F9B80A4C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5006" name="Line 59467">
          <a:extLst>
            <a:ext uri="{FF2B5EF4-FFF2-40B4-BE49-F238E27FC236}">
              <a16:creationId xmlns="" xmlns:a16="http://schemas.microsoft.com/office/drawing/2014/main" id="{EDCA9A9D-6F7D-7A43-0410-297E0100BFA8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07" name="Line 59486">
          <a:extLst>
            <a:ext uri="{FF2B5EF4-FFF2-40B4-BE49-F238E27FC236}">
              <a16:creationId xmlns="" xmlns:a16="http://schemas.microsoft.com/office/drawing/2014/main" id="{C5750480-6C81-4137-1E3F-C3850E752B17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5008" name="Line 59487">
          <a:extLst>
            <a:ext uri="{FF2B5EF4-FFF2-40B4-BE49-F238E27FC236}">
              <a16:creationId xmlns="" xmlns:a16="http://schemas.microsoft.com/office/drawing/2014/main" id="{C62D4541-FFFB-DA1D-70E2-4440DACE49B6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09" name="Line 59508">
          <a:extLst>
            <a:ext uri="{FF2B5EF4-FFF2-40B4-BE49-F238E27FC236}">
              <a16:creationId xmlns="" xmlns:a16="http://schemas.microsoft.com/office/drawing/2014/main" id="{57D7516C-5A81-C00C-B4A3-C0F051AA5EB6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5010" name="Line 59509">
          <a:extLst>
            <a:ext uri="{FF2B5EF4-FFF2-40B4-BE49-F238E27FC236}">
              <a16:creationId xmlns="" xmlns:a16="http://schemas.microsoft.com/office/drawing/2014/main" id="{4C49DFCE-0E30-B5B3-26E9-4033DF4B1A19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11" name="Line 59510">
          <a:extLst>
            <a:ext uri="{FF2B5EF4-FFF2-40B4-BE49-F238E27FC236}">
              <a16:creationId xmlns="" xmlns:a16="http://schemas.microsoft.com/office/drawing/2014/main" id="{2CCF65B4-9CC8-95BB-69BC-A8CD9B346FEB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5012" name="Line 59511">
          <a:extLst>
            <a:ext uri="{FF2B5EF4-FFF2-40B4-BE49-F238E27FC236}">
              <a16:creationId xmlns="" xmlns:a16="http://schemas.microsoft.com/office/drawing/2014/main" id="{1EF683C6-C446-849F-B370-6A7F1B984678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13" name="Line 59512">
          <a:extLst>
            <a:ext uri="{FF2B5EF4-FFF2-40B4-BE49-F238E27FC236}">
              <a16:creationId xmlns="" xmlns:a16="http://schemas.microsoft.com/office/drawing/2014/main" id="{913F3465-CFF3-561B-B973-221C69D7AB2A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38100</xdr:rowOff>
    </xdr:from>
    <xdr:to>
      <xdr:col>5</xdr:col>
      <xdr:colOff>0</xdr:colOff>
      <xdr:row>61</xdr:row>
      <xdr:rowOff>393700</xdr:rowOff>
    </xdr:to>
    <xdr:sp macro="" textlink="">
      <xdr:nvSpPr>
        <xdr:cNvPr id="125014" name="Line 59513">
          <a:extLst>
            <a:ext uri="{FF2B5EF4-FFF2-40B4-BE49-F238E27FC236}">
              <a16:creationId xmlns="" xmlns:a16="http://schemas.microsoft.com/office/drawing/2014/main" id="{F4A34177-FBF6-679C-7688-D6DF88155997}"/>
            </a:ext>
          </a:extLst>
        </xdr:cNvPr>
        <xdr:cNvSpPr>
          <a:spLocks noChangeShapeType="1"/>
        </xdr:cNvSpPr>
      </xdr:nvSpPr>
      <xdr:spPr bwMode="auto">
        <a:xfrm>
          <a:off x="920750" y="18395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15" name="Line 59402">
          <a:extLst>
            <a:ext uri="{FF2B5EF4-FFF2-40B4-BE49-F238E27FC236}">
              <a16:creationId xmlns="" xmlns:a16="http://schemas.microsoft.com/office/drawing/2014/main" id="{0C044C01-D823-1C29-71D8-0D0D957B7509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5016" name="Line 59403">
          <a:extLst>
            <a:ext uri="{FF2B5EF4-FFF2-40B4-BE49-F238E27FC236}">
              <a16:creationId xmlns="" xmlns:a16="http://schemas.microsoft.com/office/drawing/2014/main" id="{1CCA4C98-2D68-7ACF-187B-BC8C8EED3344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17" name="Line 59422">
          <a:extLst>
            <a:ext uri="{FF2B5EF4-FFF2-40B4-BE49-F238E27FC236}">
              <a16:creationId xmlns="" xmlns:a16="http://schemas.microsoft.com/office/drawing/2014/main" id="{48ED14CC-7BAE-57CB-6017-E13EB7C84363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5018" name="Line 59423">
          <a:extLst>
            <a:ext uri="{FF2B5EF4-FFF2-40B4-BE49-F238E27FC236}">
              <a16:creationId xmlns="" xmlns:a16="http://schemas.microsoft.com/office/drawing/2014/main" id="{0B96FC58-3A06-E96B-4546-23C3BC6620AE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19" name="Line 59442">
          <a:extLst>
            <a:ext uri="{FF2B5EF4-FFF2-40B4-BE49-F238E27FC236}">
              <a16:creationId xmlns="" xmlns:a16="http://schemas.microsoft.com/office/drawing/2014/main" id="{BD6356DE-0896-7B6B-0589-F89FC58E3CDE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5020" name="Line 59443">
          <a:extLst>
            <a:ext uri="{FF2B5EF4-FFF2-40B4-BE49-F238E27FC236}">
              <a16:creationId xmlns="" xmlns:a16="http://schemas.microsoft.com/office/drawing/2014/main" id="{353CDE5A-2283-42FE-5867-316B5850DEC1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21" name="Line 59462">
          <a:extLst>
            <a:ext uri="{FF2B5EF4-FFF2-40B4-BE49-F238E27FC236}">
              <a16:creationId xmlns="" xmlns:a16="http://schemas.microsoft.com/office/drawing/2014/main" id="{8A65D6F0-156E-29C2-8D10-1E08ADD04039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5022" name="Line 59463">
          <a:extLst>
            <a:ext uri="{FF2B5EF4-FFF2-40B4-BE49-F238E27FC236}">
              <a16:creationId xmlns="" xmlns:a16="http://schemas.microsoft.com/office/drawing/2014/main" id="{6C3C5147-0034-735A-4673-D0CF413B24BF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23" name="Line 59482">
          <a:extLst>
            <a:ext uri="{FF2B5EF4-FFF2-40B4-BE49-F238E27FC236}">
              <a16:creationId xmlns="" xmlns:a16="http://schemas.microsoft.com/office/drawing/2014/main" id="{B6584A00-F93C-1F2D-9E74-50F755309BAC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5024" name="Line 59483">
          <a:extLst>
            <a:ext uri="{FF2B5EF4-FFF2-40B4-BE49-F238E27FC236}">
              <a16:creationId xmlns="" xmlns:a16="http://schemas.microsoft.com/office/drawing/2014/main" id="{3899B9A2-718A-2251-F447-4641B069E85C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61</xdr:row>
      <xdr:rowOff>0</xdr:rowOff>
    </xdr:from>
    <xdr:to>
      <xdr:col>11</xdr:col>
      <xdr:colOff>25400</xdr:colOff>
      <xdr:row>61</xdr:row>
      <xdr:rowOff>0</xdr:rowOff>
    </xdr:to>
    <xdr:sp macro="" textlink="">
      <xdr:nvSpPr>
        <xdr:cNvPr id="125025" name="Line 59502">
          <a:extLst>
            <a:ext uri="{FF2B5EF4-FFF2-40B4-BE49-F238E27FC236}">
              <a16:creationId xmlns="" xmlns:a16="http://schemas.microsoft.com/office/drawing/2014/main" id="{0624C169-BECC-0464-3163-28B3F14181CB}"/>
            </a:ext>
          </a:extLst>
        </xdr:cNvPr>
        <xdr:cNvSpPr>
          <a:spLocks noChangeShapeType="1"/>
        </xdr:cNvSpPr>
      </xdr:nvSpPr>
      <xdr:spPr bwMode="auto">
        <a:xfrm>
          <a:off x="317500" y="18357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61</xdr:row>
      <xdr:rowOff>19050</xdr:rowOff>
    </xdr:from>
    <xdr:to>
      <xdr:col>5</xdr:col>
      <xdr:colOff>0</xdr:colOff>
      <xdr:row>61</xdr:row>
      <xdr:rowOff>266700</xdr:rowOff>
    </xdr:to>
    <xdr:sp macro="" textlink="">
      <xdr:nvSpPr>
        <xdr:cNvPr id="125026" name="Line 59503">
          <a:extLst>
            <a:ext uri="{FF2B5EF4-FFF2-40B4-BE49-F238E27FC236}">
              <a16:creationId xmlns="" xmlns:a16="http://schemas.microsoft.com/office/drawing/2014/main" id="{D270885F-A315-2054-4EA1-9EC6FC5A64E3}"/>
            </a:ext>
          </a:extLst>
        </xdr:cNvPr>
        <xdr:cNvSpPr>
          <a:spLocks noChangeShapeType="1"/>
        </xdr:cNvSpPr>
      </xdr:nvSpPr>
      <xdr:spPr bwMode="auto">
        <a:xfrm>
          <a:off x="920750" y="18376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27" name="Line 59406">
          <a:extLst>
            <a:ext uri="{FF2B5EF4-FFF2-40B4-BE49-F238E27FC236}">
              <a16:creationId xmlns="" xmlns:a16="http://schemas.microsoft.com/office/drawing/2014/main" id="{EA6A9F09-7845-DBAE-AC25-8A8DF2F68462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5028" name="Line 59407">
          <a:extLst>
            <a:ext uri="{FF2B5EF4-FFF2-40B4-BE49-F238E27FC236}">
              <a16:creationId xmlns="" xmlns:a16="http://schemas.microsoft.com/office/drawing/2014/main" id="{6F671213-D9EE-B70D-F6DB-918E8A27C68F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29" name="Line 59426">
          <a:extLst>
            <a:ext uri="{FF2B5EF4-FFF2-40B4-BE49-F238E27FC236}">
              <a16:creationId xmlns="" xmlns:a16="http://schemas.microsoft.com/office/drawing/2014/main" id="{29EF6B7F-34CB-3094-8CB6-053DBC027BB5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5030" name="Line 59427">
          <a:extLst>
            <a:ext uri="{FF2B5EF4-FFF2-40B4-BE49-F238E27FC236}">
              <a16:creationId xmlns="" xmlns:a16="http://schemas.microsoft.com/office/drawing/2014/main" id="{C4ED1124-4613-3CD3-1373-4B38D3AD2817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31" name="Line 59446">
          <a:extLst>
            <a:ext uri="{FF2B5EF4-FFF2-40B4-BE49-F238E27FC236}">
              <a16:creationId xmlns="" xmlns:a16="http://schemas.microsoft.com/office/drawing/2014/main" id="{66D584FB-D7FC-CFB8-3CFE-50548217518C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5032" name="Line 59447">
          <a:extLst>
            <a:ext uri="{FF2B5EF4-FFF2-40B4-BE49-F238E27FC236}">
              <a16:creationId xmlns="" xmlns:a16="http://schemas.microsoft.com/office/drawing/2014/main" id="{EAF7CE95-9BD4-C8EC-DEB2-CA7B02CE49B6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33" name="Line 59466">
          <a:extLst>
            <a:ext uri="{FF2B5EF4-FFF2-40B4-BE49-F238E27FC236}">
              <a16:creationId xmlns="" xmlns:a16="http://schemas.microsoft.com/office/drawing/2014/main" id="{A9F1626B-36BA-529F-9385-5BD1325CE246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5034" name="Line 59467">
          <a:extLst>
            <a:ext uri="{FF2B5EF4-FFF2-40B4-BE49-F238E27FC236}">
              <a16:creationId xmlns="" xmlns:a16="http://schemas.microsoft.com/office/drawing/2014/main" id="{7A23BB0A-EBD7-4EF4-26B5-162303C8EF7F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35" name="Line 59486">
          <a:extLst>
            <a:ext uri="{FF2B5EF4-FFF2-40B4-BE49-F238E27FC236}">
              <a16:creationId xmlns="" xmlns:a16="http://schemas.microsoft.com/office/drawing/2014/main" id="{B8E80B79-A61B-F38B-DF40-AD55E1224632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5036" name="Line 59487">
          <a:extLst>
            <a:ext uri="{FF2B5EF4-FFF2-40B4-BE49-F238E27FC236}">
              <a16:creationId xmlns="" xmlns:a16="http://schemas.microsoft.com/office/drawing/2014/main" id="{2121516B-6A56-36AC-C12D-DEB488084C08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37" name="Line 59508">
          <a:extLst>
            <a:ext uri="{FF2B5EF4-FFF2-40B4-BE49-F238E27FC236}">
              <a16:creationId xmlns="" xmlns:a16="http://schemas.microsoft.com/office/drawing/2014/main" id="{3B661EA6-9E97-984F-5AEC-8CAC79369B2F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5038" name="Line 59509">
          <a:extLst>
            <a:ext uri="{FF2B5EF4-FFF2-40B4-BE49-F238E27FC236}">
              <a16:creationId xmlns="" xmlns:a16="http://schemas.microsoft.com/office/drawing/2014/main" id="{B01001A4-FFD7-E586-96F2-2ACE75685DA8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39" name="Line 59510">
          <a:extLst>
            <a:ext uri="{FF2B5EF4-FFF2-40B4-BE49-F238E27FC236}">
              <a16:creationId xmlns="" xmlns:a16="http://schemas.microsoft.com/office/drawing/2014/main" id="{551BBB7A-BEA8-0A5F-9EA0-DB06E17C760D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5040" name="Line 59511">
          <a:extLst>
            <a:ext uri="{FF2B5EF4-FFF2-40B4-BE49-F238E27FC236}">
              <a16:creationId xmlns="" xmlns:a16="http://schemas.microsoft.com/office/drawing/2014/main" id="{4FE40531-567A-9BB2-C4B8-833D8106EBA0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41" name="Line 59512">
          <a:extLst>
            <a:ext uri="{FF2B5EF4-FFF2-40B4-BE49-F238E27FC236}">
              <a16:creationId xmlns="" xmlns:a16="http://schemas.microsoft.com/office/drawing/2014/main" id="{3059A8FE-EC9A-A317-2909-9E5371DDFA90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38100</xdr:rowOff>
    </xdr:from>
    <xdr:to>
      <xdr:col>5</xdr:col>
      <xdr:colOff>0</xdr:colOff>
      <xdr:row>76</xdr:row>
      <xdr:rowOff>393700</xdr:rowOff>
    </xdr:to>
    <xdr:sp macro="" textlink="">
      <xdr:nvSpPr>
        <xdr:cNvPr id="125042" name="Line 59513">
          <a:extLst>
            <a:ext uri="{FF2B5EF4-FFF2-40B4-BE49-F238E27FC236}">
              <a16:creationId xmlns="" xmlns:a16="http://schemas.microsoft.com/office/drawing/2014/main" id="{7CAC989F-673C-BA86-B381-73034FD80080}"/>
            </a:ext>
          </a:extLst>
        </xdr:cNvPr>
        <xdr:cNvSpPr>
          <a:spLocks noChangeShapeType="1"/>
        </xdr:cNvSpPr>
      </xdr:nvSpPr>
      <xdr:spPr bwMode="auto">
        <a:xfrm>
          <a:off x="920750" y="202247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43" name="Line 59402">
          <a:extLst>
            <a:ext uri="{FF2B5EF4-FFF2-40B4-BE49-F238E27FC236}">
              <a16:creationId xmlns="" xmlns:a16="http://schemas.microsoft.com/office/drawing/2014/main" id="{5674A331-25E7-261F-DFD6-9181FC4C793F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5044" name="Line 59403">
          <a:extLst>
            <a:ext uri="{FF2B5EF4-FFF2-40B4-BE49-F238E27FC236}">
              <a16:creationId xmlns="" xmlns:a16="http://schemas.microsoft.com/office/drawing/2014/main" id="{2676FBB5-2654-DD24-540B-8F5EC61E0302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45" name="Line 59422">
          <a:extLst>
            <a:ext uri="{FF2B5EF4-FFF2-40B4-BE49-F238E27FC236}">
              <a16:creationId xmlns="" xmlns:a16="http://schemas.microsoft.com/office/drawing/2014/main" id="{225AC928-D52E-5315-934E-91609A29E7E7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5046" name="Line 59423">
          <a:extLst>
            <a:ext uri="{FF2B5EF4-FFF2-40B4-BE49-F238E27FC236}">
              <a16:creationId xmlns="" xmlns:a16="http://schemas.microsoft.com/office/drawing/2014/main" id="{A36E23CA-3E48-F47C-6293-738F687F33DC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47" name="Line 59442">
          <a:extLst>
            <a:ext uri="{FF2B5EF4-FFF2-40B4-BE49-F238E27FC236}">
              <a16:creationId xmlns="" xmlns:a16="http://schemas.microsoft.com/office/drawing/2014/main" id="{86BA5026-FF4C-5277-3540-5729034F1C03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5048" name="Line 59443">
          <a:extLst>
            <a:ext uri="{FF2B5EF4-FFF2-40B4-BE49-F238E27FC236}">
              <a16:creationId xmlns="" xmlns:a16="http://schemas.microsoft.com/office/drawing/2014/main" id="{C6EF9B7F-0BDA-06E0-36BD-EF218E9ED8C6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49" name="Line 59462">
          <a:extLst>
            <a:ext uri="{FF2B5EF4-FFF2-40B4-BE49-F238E27FC236}">
              <a16:creationId xmlns="" xmlns:a16="http://schemas.microsoft.com/office/drawing/2014/main" id="{B61CE6E9-B2AA-1461-E447-34DC0ED5A870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5050" name="Line 59463">
          <a:extLst>
            <a:ext uri="{FF2B5EF4-FFF2-40B4-BE49-F238E27FC236}">
              <a16:creationId xmlns="" xmlns:a16="http://schemas.microsoft.com/office/drawing/2014/main" id="{F2F05335-B22F-6E05-AA42-AEDD6CF098AC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76</xdr:row>
      <xdr:rowOff>0</xdr:rowOff>
    </xdr:from>
    <xdr:to>
      <xdr:col>11</xdr:col>
      <xdr:colOff>25400</xdr:colOff>
      <xdr:row>76</xdr:row>
      <xdr:rowOff>0</xdr:rowOff>
    </xdr:to>
    <xdr:sp macro="" textlink="">
      <xdr:nvSpPr>
        <xdr:cNvPr id="125051" name="Line 59482">
          <a:extLst>
            <a:ext uri="{FF2B5EF4-FFF2-40B4-BE49-F238E27FC236}">
              <a16:creationId xmlns="" xmlns:a16="http://schemas.microsoft.com/office/drawing/2014/main" id="{3350824E-AE50-517E-64B3-74F1B31B756A}"/>
            </a:ext>
          </a:extLst>
        </xdr:cNvPr>
        <xdr:cNvSpPr>
          <a:spLocks noChangeShapeType="1"/>
        </xdr:cNvSpPr>
      </xdr:nvSpPr>
      <xdr:spPr bwMode="auto">
        <a:xfrm>
          <a:off x="317500" y="201866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5052" name="Line 59483">
          <a:extLst>
            <a:ext uri="{FF2B5EF4-FFF2-40B4-BE49-F238E27FC236}">
              <a16:creationId xmlns="" xmlns:a16="http://schemas.microsoft.com/office/drawing/2014/main" id="{26CFD862-B607-DAA4-9B44-F154E7C50A2D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76</xdr:row>
      <xdr:rowOff>19050</xdr:rowOff>
    </xdr:from>
    <xdr:to>
      <xdr:col>5</xdr:col>
      <xdr:colOff>0</xdr:colOff>
      <xdr:row>76</xdr:row>
      <xdr:rowOff>266700</xdr:rowOff>
    </xdr:to>
    <xdr:sp macro="" textlink="">
      <xdr:nvSpPr>
        <xdr:cNvPr id="125053" name="Line 59503">
          <a:extLst>
            <a:ext uri="{FF2B5EF4-FFF2-40B4-BE49-F238E27FC236}">
              <a16:creationId xmlns="" xmlns:a16="http://schemas.microsoft.com/office/drawing/2014/main" id="{4818CBFE-1D0D-91EB-2BB8-23608FEDB45C}"/>
            </a:ext>
          </a:extLst>
        </xdr:cNvPr>
        <xdr:cNvSpPr>
          <a:spLocks noChangeShapeType="1"/>
        </xdr:cNvSpPr>
      </xdr:nvSpPr>
      <xdr:spPr bwMode="auto">
        <a:xfrm>
          <a:off x="920750" y="202057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54" name="Line 59406">
          <a:extLst>
            <a:ext uri="{FF2B5EF4-FFF2-40B4-BE49-F238E27FC236}">
              <a16:creationId xmlns="" xmlns:a16="http://schemas.microsoft.com/office/drawing/2014/main" id="{8F79A95D-20A8-BFBD-A40E-D08AF84E4E9A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55" name="Line 59407">
          <a:extLst>
            <a:ext uri="{FF2B5EF4-FFF2-40B4-BE49-F238E27FC236}">
              <a16:creationId xmlns="" xmlns:a16="http://schemas.microsoft.com/office/drawing/2014/main" id="{7BD5BFCA-ED0E-E47F-84B4-F2D1B80F1B7D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56" name="Line 59426">
          <a:extLst>
            <a:ext uri="{FF2B5EF4-FFF2-40B4-BE49-F238E27FC236}">
              <a16:creationId xmlns="" xmlns:a16="http://schemas.microsoft.com/office/drawing/2014/main" id="{25F09833-13C3-E863-7B95-E1C1228FDCC1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57" name="Line 59427">
          <a:extLst>
            <a:ext uri="{FF2B5EF4-FFF2-40B4-BE49-F238E27FC236}">
              <a16:creationId xmlns="" xmlns:a16="http://schemas.microsoft.com/office/drawing/2014/main" id="{CA8834D9-5A10-1E20-AFB5-2F9D86292B39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58" name="Line 59446">
          <a:extLst>
            <a:ext uri="{FF2B5EF4-FFF2-40B4-BE49-F238E27FC236}">
              <a16:creationId xmlns="" xmlns:a16="http://schemas.microsoft.com/office/drawing/2014/main" id="{3ACDC4B8-F929-9817-E45E-0B2D78CD19A6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59" name="Line 59447">
          <a:extLst>
            <a:ext uri="{FF2B5EF4-FFF2-40B4-BE49-F238E27FC236}">
              <a16:creationId xmlns="" xmlns:a16="http://schemas.microsoft.com/office/drawing/2014/main" id="{16938203-F113-9290-B637-425BB44860DF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60" name="Line 59466">
          <a:extLst>
            <a:ext uri="{FF2B5EF4-FFF2-40B4-BE49-F238E27FC236}">
              <a16:creationId xmlns="" xmlns:a16="http://schemas.microsoft.com/office/drawing/2014/main" id="{56AA645D-B73C-83A1-E49D-52FB959118D4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61" name="Line 59467">
          <a:extLst>
            <a:ext uri="{FF2B5EF4-FFF2-40B4-BE49-F238E27FC236}">
              <a16:creationId xmlns="" xmlns:a16="http://schemas.microsoft.com/office/drawing/2014/main" id="{851938DA-E785-CF74-42F8-30C219EEE59B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62" name="Line 59486">
          <a:extLst>
            <a:ext uri="{FF2B5EF4-FFF2-40B4-BE49-F238E27FC236}">
              <a16:creationId xmlns="" xmlns:a16="http://schemas.microsoft.com/office/drawing/2014/main" id="{6ADF982B-878E-B4CF-1045-93097228B77B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63" name="Line 59487">
          <a:extLst>
            <a:ext uri="{FF2B5EF4-FFF2-40B4-BE49-F238E27FC236}">
              <a16:creationId xmlns="" xmlns:a16="http://schemas.microsoft.com/office/drawing/2014/main" id="{7C38E00C-E5BF-DD5D-7DDC-A50068B2A10A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64" name="Line 59508">
          <a:extLst>
            <a:ext uri="{FF2B5EF4-FFF2-40B4-BE49-F238E27FC236}">
              <a16:creationId xmlns="" xmlns:a16="http://schemas.microsoft.com/office/drawing/2014/main" id="{FA8DDFD1-4A9D-76AF-E419-2CF90FEFA45D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65" name="Line 59509">
          <a:extLst>
            <a:ext uri="{FF2B5EF4-FFF2-40B4-BE49-F238E27FC236}">
              <a16:creationId xmlns="" xmlns:a16="http://schemas.microsoft.com/office/drawing/2014/main" id="{8A5D7E85-2E2D-10D4-213D-410EC6D8B03B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66" name="Line 59510">
          <a:extLst>
            <a:ext uri="{FF2B5EF4-FFF2-40B4-BE49-F238E27FC236}">
              <a16:creationId xmlns="" xmlns:a16="http://schemas.microsoft.com/office/drawing/2014/main" id="{0FF02F51-2404-2C55-C991-31FEFA24CC8D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67" name="Line 59511">
          <a:extLst>
            <a:ext uri="{FF2B5EF4-FFF2-40B4-BE49-F238E27FC236}">
              <a16:creationId xmlns="" xmlns:a16="http://schemas.microsoft.com/office/drawing/2014/main" id="{2A3EC0C3-7C08-331B-6E11-8543DA55C4D6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68" name="Line 59512">
          <a:extLst>
            <a:ext uri="{FF2B5EF4-FFF2-40B4-BE49-F238E27FC236}">
              <a16:creationId xmlns="" xmlns:a16="http://schemas.microsoft.com/office/drawing/2014/main" id="{FA700055-52D7-C4D3-791D-BBFCD005325C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69" name="Line 59513">
          <a:extLst>
            <a:ext uri="{FF2B5EF4-FFF2-40B4-BE49-F238E27FC236}">
              <a16:creationId xmlns="" xmlns:a16="http://schemas.microsoft.com/office/drawing/2014/main" id="{1E6068FC-646E-DB79-9369-5BE8C6203661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70" name="Line 59402">
          <a:extLst>
            <a:ext uri="{FF2B5EF4-FFF2-40B4-BE49-F238E27FC236}">
              <a16:creationId xmlns="" xmlns:a16="http://schemas.microsoft.com/office/drawing/2014/main" id="{29265FFC-2808-3211-0001-79866328CD6E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071" name="Line 59403">
          <a:extLst>
            <a:ext uri="{FF2B5EF4-FFF2-40B4-BE49-F238E27FC236}">
              <a16:creationId xmlns="" xmlns:a16="http://schemas.microsoft.com/office/drawing/2014/main" id="{61784542-5851-5138-0140-FA05F28CE396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72" name="Line 59422">
          <a:extLst>
            <a:ext uri="{FF2B5EF4-FFF2-40B4-BE49-F238E27FC236}">
              <a16:creationId xmlns="" xmlns:a16="http://schemas.microsoft.com/office/drawing/2014/main" id="{FECDB7A0-C574-7E23-82B5-2CCA76C8D4A8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073" name="Line 59423">
          <a:extLst>
            <a:ext uri="{FF2B5EF4-FFF2-40B4-BE49-F238E27FC236}">
              <a16:creationId xmlns="" xmlns:a16="http://schemas.microsoft.com/office/drawing/2014/main" id="{CB401B62-ADB8-A77D-1A9B-7E6F9D00AC3E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74" name="Line 59442">
          <a:extLst>
            <a:ext uri="{FF2B5EF4-FFF2-40B4-BE49-F238E27FC236}">
              <a16:creationId xmlns="" xmlns:a16="http://schemas.microsoft.com/office/drawing/2014/main" id="{CCDC387F-E1BA-B71E-2F5C-C8C9234A93A6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075" name="Line 59443">
          <a:extLst>
            <a:ext uri="{FF2B5EF4-FFF2-40B4-BE49-F238E27FC236}">
              <a16:creationId xmlns="" xmlns:a16="http://schemas.microsoft.com/office/drawing/2014/main" id="{6E6FF47D-E54E-7E4D-A81E-90264042B3B1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76" name="Line 59462">
          <a:extLst>
            <a:ext uri="{FF2B5EF4-FFF2-40B4-BE49-F238E27FC236}">
              <a16:creationId xmlns="" xmlns:a16="http://schemas.microsoft.com/office/drawing/2014/main" id="{3057E20B-7FCC-936A-5F0C-E1A2F63351C9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077" name="Line 59463">
          <a:extLst>
            <a:ext uri="{FF2B5EF4-FFF2-40B4-BE49-F238E27FC236}">
              <a16:creationId xmlns="" xmlns:a16="http://schemas.microsoft.com/office/drawing/2014/main" id="{3E6D93D2-66B7-E2F2-0F61-ABFD57242DEE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78" name="Line 59482">
          <a:extLst>
            <a:ext uri="{FF2B5EF4-FFF2-40B4-BE49-F238E27FC236}">
              <a16:creationId xmlns="" xmlns:a16="http://schemas.microsoft.com/office/drawing/2014/main" id="{40251DFC-04C0-F6E0-64DE-4AE756CD9E30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079" name="Line 59483">
          <a:extLst>
            <a:ext uri="{FF2B5EF4-FFF2-40B4-BE49-F238E27FC236}">
              <a16:creationId xmlns="" xmlns:a16="http://schemas.microsoft.com/office/drawing/2014/main" id="{4A860B6C-400F-6FD2-43D7-820BFA2757C8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80" name="Line 59502">
          <a:extLst>
            <a:ext uri="{FF2B5EF4-FFF2-40B4-BE49-F238E27FC236}">
              <a16:creationId xmlns="" xmlns:a16="http://schemas.microsoft.com/office/drawing/2014/main" id="{1ADD914C-08F6-26F0-3835-A13A7CCBAEC5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081" name="Line 59503">
          <a:extLst>
            <a:ext uri="{FF2B5EF4-FFF2-40B4-BE49-F238E27FC236}">
              <a16:creationId xmlns="" xmlns:a16="http://schemas.microsoft.com/office/drawing/2014/main" id="{C839E5A4-F660-906D-E7B8-7FF82740F873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82" name="Line 59406">
          <a:extLst>
            <a:ext uri="{FF2B5EF4-FFF2-40B4-BE49-F238E27FC236}">
              <a16:creationId xmlns="" xmlns:a16="http://schemas.microsoft.com/office/drawing/2014/main" id="{4BE3B5B7-C36C-4CAB-7C67-C07027870CC8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83" name="Line 59407">
          <a:extLst>
            <a:ext uri="{FF2B5EF4-FFF2-40B4-BE49-F238E27FC236}">
              <a16:creationId xmlns="" xmlns:a16="http://schemas.microsoft.com/office/drawing/2014/main" id="{8DF4CC74-2F06-7ECE-E37A-E905BA446B63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84" name="Line 59426">
          <a:extLst>
            <a:ext uri="{FF2B5EF4-FFF2-40B4-BE49-F238E27FC236}">
              <a16:creationId xmlns="" xmlns:a16="http://schemas.microsoft.com/office/drawing/2014/main" id="{6764582B-F1DA-FDEC-8085-7F70D4FFEFAC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85" name="Line 59427">
          <a:extLst>
            <a:ext uri="{FF2B5EF4-FFF2-40B4-BE49-F238E27FC236}">
              <a16:creationId xmlns="" xmlns:a16="http://schemas.microsoft.com/office/drawing/2014/main" id="{42ADAD5F-EC1E-C81F-C91F-3B90E88ACAC5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86" name="Line 59446">
          <a:extLst>
            <a:ext uri="{FF2B5EF4-FFF2-40B4-BE49-F238E27FC236}">
              <a16:creationId xmlns="" xmlns:a16="http://schemas.microsoft.com/office/drawing/2014/main" id="{BF5A679E-DDA6-7E3F-9632-304C1FB97909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87" name="Line 59447">
          <a:extLst>
            <a:ext uri="{FF2B5EF4-FFF2-40B4-BE49-F238E27FC236}">
              <a16:creationId xmlns="" xmlns:a16="http://schemas.microsoft.com/office/drawing/2014/main" id="{8CF79C0D-BD2C-A29D-E00E-A2635A3EDAAB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88" name="Line 59466">
          <a:extLst>
            <a:ext uri="{FF2B5EF4-FFF2-40B4-BE49-F238E27FC236}">
              <a16:creationId xmlns="" xmlns:a16="http://schemas.microsoft.com/office/drawing/2014/main" id="{6980CC22-9CD6-77B6-23D1-23E5956BBB7E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89" name="Line 59467">
          <a:extLst>
            <a:ext uri="{FF2B5EF4-FFF2-40B4-BE49-F238E27FC236}">
              <a16:creationId xmlns="" xmlns:a16="http://schemas.microsoft.com/office/drawing/2014/main" id="{7980CE90-9390-EE0A-D13B-F16621879295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90" name="Line 59486">
          <a:extLst>
            <a:ext uri="{FF2B5EF4-FFF2-40B4-BE49-F238E27FC236}">
              <a16:creationId xmlns="" xmlns:a16="http://schemas.microsoft.com/office/drawing/2014/main" id="{DE8C015E-F1AD-EC71-A605-86CCADF9790A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91" name="Line 59487">
          <a:extLst>
            <a:ext uri="{FF2B5EF4-FFF2-40B4-BE49-F238E27FC236}">
              <a16:creationId xmlns="" xmlns:a16="http://schemas.microsoft.com/office/drawing/2014/main" id="{128C0040-B582-2A56-09CD-00E9ADB968EF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92" name="Line 59508">
          <a:extLst>
            <a:ext uri="{FF2B5EF4-FFF2-40B4-BE49-F238E27FC236}">
              <a16:creationId xmlns="" xmlns:a16="http://schemas.microsoft.com/office/drawing/2014/main" id="{A14D1E05-0DE7-D88D-5682-67F6E3427479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93" name="Line 59509">
          <a:extLst>
            <a:ext uri="{FF2B5EF4-FFF2-40B4-BE49-F238E27FC236}">
              <a16:creationId xmlns="" xmlns:a16="http://schemas.microsoft.com/office/drawing/2014/main" id="{A499B6DE-EAD2-5134-4660-7BB38BB55E9E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94" name="Line 59510">
          <a:extLst>
            <a:ext uri="{FF2B5EF4-FFF2-40B4-BE49-F238E27FC236}">
              <a16:creationId xmlns="" xmlns:a16="http://schemas.microsoft.com/office/drawing/2014/main" id="{E2FB0F59-0998-955D-86A7-822345213F43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95" name="Line 59511">
          <a:extLst>
            <a:ext uri="{FF2B5EF4-FFF2-40B4-BE49-F238E27FC236}">
              <a16:creationId xmlns="" xmlns:a16="http://schemas.microsoft.com/office/drawing/2014/main" id="{EA0EA02C-ED8D-48A9-182D-11C031C8B285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96" name="Line 59512">
          <a:extLst>
            <a:ext uri="{FF2B5EF4-FFF2-40B4-BE49-F238E27FC236}">
              <a16:creationId xmlns="" xmlns:a16="http://schemas.microsoft.com/office/drawing/2014/main" id="{785EE052-C86B-E466-D98B-1813A876E52C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097" name="Line 59513">
          <a:extLst>
            <a:ext uri="{FF2B5EF4-FFF2-40B4-BE49-F238E27FC236}">
              <a16:creationId xmlns="" xmlns:a16="http://schemas.microsoft.com/office/drawing/2014/main" id="{E7375B52-A4C8-8943-7254-8480074BAAEF}"/>
            </a:ext>
          </a:extLst>
        </xdr:cNvPr>
        <xdr:cNvSpPr>
          <a:spLocks noChangeShapeType="1"/>
        </xdr:cNvSpPr>
      </xdr:nvSpPr>
      <xdr:spPr bwMode="auto">
        <a:xfrm>
          <a:off x="920750" y="20834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098" name="Line 59402">
          <a:extLst>
            <a:ext uri="{FF2B5EF4-FFF2-40B4-BE49-F238E27FC236}">
              <a16:creationId xmlns="" xmlns:a16="http://schemas.microsoft.com/office/drawing/2014/main" id="{BA9C6B4F-8459-B3C8-AD2E-AD17FA25921A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099" name="Line 59403">
          <a:extLst>
            <a:ext uri="{FF2B5EF4-FFF2-40B4-BE49-F238E27FC236}">
              <a16:creationId xmlns="" xmlns:a16="http://schemas.microsoft.com/office/drawing/2014/main" id="{C9F3EDCC-FBA1-2770-7EBA-6393C7F45D00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100" name="Line 59422">
          <a:extLst>
            <a:ext uri="{FF2B5EF4-FFF2-40B4-BE49-F238E27FC236}">
              <a16:creationId xmlns="" xmlns:a16="http://schemas.microsoft.com/office/drawing/2014/main" id="{B47D6463-2BF0-76C3-5BAC-D469AC3DC12C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101" name="Line 59423">
          <a:extLst>
            <a:ext uri="{FF2B5EF4-FFF2-40B4-BE49-F238E27FC236}">
              <a16:creationId xmlns="" xmlns:a16="http://schemas.microsoft.com/office/drawing/2014/main" id="{1B11B40E-F70C-80D2-B42C-6A0206E44E97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102" name="Line 59442">
          <a:extLst>
            <a:ext uri="{FF2B5EF4-FFF2-40B4-BE49-F238E27FC236}">
              <a16:creationId xmlns="" xmlns:a16="http://schemas.microsoft.com/office/drawing/2014/main" id="{4207AF04-1325-84DC-881D-C64D200B1926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103" name="Line 59443">
          <a:extLst>
            <a:ext uri="{FF2B5EF4-FFF2-40B4-BE49-F238E27FC236}">
              <a16:creationId xmlns="" xmlns:a16="http://schemas.microsoft.com/office/drawing/2014/main" id="{BD224E3E-C5A6-9246-5042-CF051941E4F8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104" name="Line 59462">
          <a:extLst>
            <a:ext uri="{FF2B5EF4-FFF2-40B4-BE49-F238E27FC236}">
              <a16:creationId xmlns="" xmlns:a16="http://schemas.microsoft.com/office/drawing/2014/main" id="{EDAB1E1B-8200-C54F-EADB-8F7429A4A10D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105" name="Line 59463">
          <a:extLst>
            <a:ext uri="{FF2B5EF4-FFF2-40B4-BE49-F238E27FC236}">
              <a16:creationId xmlns="" xmlns:a16="http://schemas.microsoft.com/office/drawing/2014/main" id="{14A8A5E2-BFC0-7B4B-C098-AB79A9CEB852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78</xdr:row>
      <xdr:rowOff>0</xdr:rowOff>
    </xdr:from>
    <xdr:to>
      <xdr:col>11</xdr:col>
      <xdr:colOff>25400</xdr:colOff>
      <xdr:row>78</xdr:row>
      <xdr:rowOff>0</xdr:rowOff>
    </xdr:to>
    <xdr:sp macro="" textlink="">
      <xdr:nvSpPr>
        <xdr:cNvPr id="125106" name="Line 59482">
          <a:extLst>
            <a:ext uri="{FF2B5EF4-FFF2-40B4-BE49-F238E27FC236}">
              <a16:creationId xmlns="" xmlns:a16="http://schemas.microsoft.com/office/drawing/2014/main" id="{9B47E44D-0FE7-A750-CE97-97C494E4309C}"/>
            </a:ext>
          </a:extLst>
        </xdr:cNvPr>
        <xdr:cNvSpPr>
          <a:spLocks noChangeShapeType="1"/>
        </xdr:cNvSpPr>
      </xdr:nvSpPr>
      <xdr:spPr bwMode="auto">
        <a:xfrm>
          <a:off x="317500" y="207962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107" name="Line 59483">
          <a:extLst>
            <a:ext uri="{FF2B5EF4-FFF2-40B4-BE49-F238E27FC236}">
              <a16:creationId xmlns="" xmlns:a16="http://schemas.microsoft.com/office/drawing/2014/main" id="{E7AB0FF6-D8C0-9675-0AC0-DEE35FFAA8A6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19050</xdr:rowOff>
    </xdr:from>
    <xdr:to>
      <xdr:col>5</xdr:col>
      <xdr:colOff>0</xdr:colOff>
      <xdr:row>78</xdr:row>
      <xdr:rowOff>266700</xdr:rowOff>
    </xdr:to>
    <xdr:sp macro="" textlink="">
      <xdr:nvSpPr>
        <xdr:cNvPr id="125108" name="Line 59503">
          <a:extLst>
            <a:ext uri="{FF2B5EF4-FFF2-40B4-BE49-F238E27FC236}">
              <a16:creationId xmlns="" xmlns:a16="http://schemas.microsoft.com/office/drawing/2014/main" id="{B8933DE7-8D5B-E9D7-2AA7-D2F2812CDB7F}"/>
            </a:ext>
          </a:extLst>
        </xdr:cNvPr>
        <xdr:cNvSpPr>
          <a:spLocks noChangeShapeType="1"/>
        </xdr:cNvSpPr>
      </xdr:nvSpPr>
      <xdr:spPr bwMode="auto">
        <a:xfrm>
          <a:off x="920750" y="20815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09" name="Line 59406">
          <a:extLst>
            <a:ext uri="{FF2B5EF4-FFF2-40B4-BE49-F238E27FC236}">
              <a16:creationId xmlns="" xmlns:a16="http://schemas.microsoft.com/office/drawing/2014/main" id="{5CADD394-BBB9-BB03-7FC5-0647BA9DD92D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10" name="Line 59407">
          <a:extLst>
            <a:ext uri="{FF2B5EF4-FFF2-40B4-BE49-F238E27FC236}">
              <a16:creationId xmlns="" xmlns:a16="http://schemas.microsoft.com/office/drawing/2014/main" id="{AC5AC188-4F97-77C5-4ABD-73A65561F539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11" name="Line 59426">
          <a:extLst>
            <a:ext uri="{FF2B5EF4-FFF2-40B4-BE49-F238E27FC236}">
              <a16:creationId xmlns="" xmlns:a16="http://schemas.microsoft.com/office/drawing/2014/main" id="{504AA695-691F-2030-70FF-35BF7D0DFCDA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12" name="Line 59427">
          <a:extLst>
            <a:ext uri="{FF2B5EF4-FFF2-40B4-BE49-F238E27FC236}">
              <a16:creationId xmlns="" xmlns:a16="http://schemas.microsoft.com/office/drawing/2014/main" id="{1F6246C6-73D4-4962-D582-0E7B8AB854F3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13" name="Line 59446">
          <a:extLst>
            <a:ext uri="{FF2B5EF4-FFF2-40B4-BE49-F238E27FC236}">
              <a16:creationId xmlns="" xmlns:a16="http://schemas.microsoft.com/office/drawing/2014/main" id="{7F893CC6-744C-E59B-96C4-7D9878D7EA69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14" name="Line 59447">
          <a:extLst>
            <a:ext uri="{FF2B5EF4-FFF2-40B4-BE49-F238E27FC236}">
              <a16:creationId xmlns="" xmlns:a16="http://schemas.microsoft.com/office/drawing/2014/main" id="{6FA99CB0-D412-1F28-D609-9A6D0BDAB9FD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15" name="Line 59466">
          <a:extLst>
            <a:ext uri="{FF2B5EF4-FFF2-40B4-BE49-F238E27FC236}">
              <a16:creationId xmlns="" xmlns:a16="http://schemas.microsoft.com/office/drawing/2014/main" id="{0D0465E7-DF07-3888-CA9E-E7831364205A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16" name="Line 59467">
          <a:extLst>
            <a:ext uri="{FF2B5EF4-FFF2-40B4-BE49-F238E27FC236}">
              <a16:creationId xmlns="" xmlns:a16="http://schemas.microsoft.com/office/drawing/2014/main" id="{A6F95991-75B3-6AF7-E840-8D430C2581C0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17" name="Line 59486">
          <a:extLst>
            <a:ext uri="{FF2B5EF4-FFF2-40B4-BE49-F238E27FC236}">
              <a16:creationId xmlns="" xmlns:a16="http://schemas.microsoft.com/office/drawing/2014/main" id="{AAC46D98-C1CE-798F-EE61-E86724FDC783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18" name="Line 59487">
          <a:extLst>
            <a:ext uri="{FF2B5EF4-FFF2-40B4-BE49-F238E27FC236}">
              <a16:creationId xmlns="" xmlns:a16="http://schemas.microsoft.com/office/drawing/2014/main" id="{9D4D0F71-F411-3BCF-226A-371D1C2AB548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19" name="Line 59508">
          <a:extLst>
            <a:ext uri="{FF2B5EF4-FFF2-40B4-BE49-F238E27FC236}">
              <a16:creationId xmlns="" xmlns:a16="http://schemas.microsoft.com/office/drawing/2014/main" id="{789280F9-CB8E-FE69-C8B1-23130ACF19F4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20" name="Line 59509">
          <a:extLst>
            <a:ext uri="{FF2B5EF4-FFF2-40B4-BE49-F238E27FC236}">
              <a16:creationId xmlns="" xmlns:a16="http://schemas.microsoft.com/office/drawing/2014/main" id="{18815A9B-5242-AEC3-EE2B-36DBD8FB1A70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21" name="Line 59510">
          <a:extLst>
            <a:ext uri="{FF2B5EF4-FFF2-40B4-BE49-F238E27FC236}">
              <a16:creationId xmlns="" xmlns:a16="http://schemas.microsoft.com/office/drawing/2014/main" id="{8DD021F0-84E2-09B3-CCFB-0659E814106D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22" name="Line 59511">
          <a:extLst>
            <a:ext uri="{FF2B5EF4-FFF2-40B4-BE49-F238E27FC236}">
              <a16:creationId xmlns="" xmlns:a16="http://schemas.microsoft.com/office/drawing/2014/main" id="{9EFF367E-5E2C-1C72-9F9D-61DFB7ECD3A0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23" name="Line 59512">
          <a:extLst>
            <a:ext uri="{FF2B5EF4-FFF2-40B4-BE49-F238E27FC236}">
              <a16:creationId xmlns="" xmlns:a16="http://schemas.microsoft.com/office/drawing/2014/main" id="{79518B7D-9F20-F199-58C8-DB49500E7222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24" name="Line 59513">
          <a:extLst>
            <a:ext uri="{FF2B5EF4-FFF2-40B4-BE49-F238E27FC236}">
              <a16:creationId xmlns="" xmlns:a16="http://schemas.microsoft.com/office/drawing/2014/main" id="{7642854A-C901-C9E2-980B-EFA77868A2C9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25" name="Line 59402">
          <a:extLst>
            <a:ext uri="{FF2B5EF4-FFF2-40B4-BE49-F238E27FC236}">
              <a16:creationId xmlns="" xmlns:a16="http://schemas.microsoft.com/office/drawing/2014/main" id="{19D7C9BD-049E-594D-556D-2890E1829F58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26" name="Line 59403">
          <a:extLst>
            <a:ext uri="{FF2B5EF4-FFF2-40B4-BE49-F238E27FC236}">
              <a16:creationId xmlns="" xmlns:a16="http://schemas.microsoft.com/office/drawing/2014/main" id="{18C157E3-01FF-1357-0576-E550EB51AB13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27" name="Line 59422">
          <a:extLst>
            <a:ext uri="{FF2B5EF4-FFF2-40B4-BE49-F238E27FC236}">
              <a16:creationId xmlns="" xmlns:a16="http://schemas.microsoft.com/office/drawing/2014/main" id="{5120D883-088D-BB3B-CBC3-4F87B18EA8A7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28" name="Line 59423">
          <a:extLst>
            <a:ext uri="{FF2B5EF4-FFF2-40B4-BE49-F238E27FC236}">
              <a16:creationId xmlns="" xmlns:a16="http://schemas.microsoft.com/office/drawing/2014/main" id="{4B27F7FC-3C77-F896-BEFF-2457C52022F5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29" name="Line 59442">
          <a:extLst>
            <a:ext uri="{FF2B5EF4-FFF2-40B4-BE49-F238E27FC236}">
              <a16:creationId xmlns="" xmlns:a16="http://schemas.microsoft.com/office/drawing/2014/main" id="{E3318825-6793-62A4-7B36-BEF726779944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30" name="Line 59443">
          <a:extLst>
            <a:ext uri="{FF2B5EF4-FFF2-40B4-BE49-F238E27FC236}">
              <a16:creationId xmlns="" xmlns:a16="http://schemas.microsoft.com/office/drawing/2014/main" id="{FF0F1568-1EA9-7B3D-32E7-544B61BE03F7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31" name="Line 59462">
          <a:extLst>
            <a:ext uri="{FF2B5EF4-FFF2-40B4-BE49-F238E27FC236}">
              <a16:creationId xmlns="" xmlns:a16="http://schemas.microsoft.com/office/drawing/2014/main" id="{81879277-B237-752C-343F-951681255710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32" name="Line 59463">
          <a:extLst>
            <a:ext uri="{FF2B5EF4-FFF2-40B4-BE49-F238E27FC236}">
              <a16:creationId xmlns="" xmlns:a16="http://schemas.microsoft.com/office/drawing/2014/main" id="{66BE57FB-3002-FF77-7D02-023D5128F26C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33" name="Line 59482">
          <a:extLst>
            <a:ext uri="{FF2B5EF4-FFF2-40B4-BE49-F238E27FC236}">
              <a16:creationId xmlns="" xmlns:a16="http://schemas.microsoft.com/office/drawing/2014/main" id="{C01390AB-B27C-D949-97B3-347EE3BBC68C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34" name="Line 59483">
          <a:extLst>
            <a:ext uri="{FF2B5EF4-FFF2-40B4-BE49-F238E27FC236}">
              <a16:creationId xmlns="" xmlns:a16="http://schemas.microsoft.com/office/drawing/2014/main" id="{2943FBBF-5901-60EB-3212-DBFC25DF37DA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35" name="Line 59502">
          <a:extLst>
            <a:ext uri="{FF2B5EF4-FFF2-40B4-BE49-F238E27FC236}">
              <a16:creationId xmlns="" xmlns:a16="http://schemas.microsoft.com/office/drawing/2014/main" id="{75B90EA3-FE65-ED03-609E-8F627B6906ED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36" name="Line 59503">
          <a:extLst>
            <a:ext uri="{FF2B5EF4-FFF2-40B4-BE49-F238E27FC236}">
              <a16:creationId xmlns="" xmlns:a16="http://schemas.microsoft.com/office/drawing/2014/main" id="{6C6691B7-C828-400F-C895-3F399D2FB7A6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37" name="Line 59406">
          <a:extLst>
            <a:ext uri="{FF2B5EF4-FFF2-40B4-BE49-F238E27FC236}">
              <a16:creationId xmlns="" xmlns:a16="http://schemas.microsoft.com/office/drawing/2014/main" id="{7DFB2292-EB86-1E40-98A5-D46B9C580199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38" name="Line 59407">
          <a:extLst>
            <a:ext uri="{FF2B5EF4-FFF2-40B4-BE49-F238E27FC236}">
              <a16:creationId xmlns="" xmlns:a16="http://schemas.microsoft.com/office/drawing/2014/main" id="{E4529286-955B-A891-6D14-C13FF002805A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39" name="Line 59426">
          <a:extLst>
            <a:ext uri="{FF2B5EF4-FFF2-40B4-BE49-F238E27FC236}">
              <a16:creationId xmlns="" xmlns:a16="http://schemas.microsoft.com/office/drawing/2014/main" id="{5320CB42-6AC5-9E92-2407-28C18C600529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40" name="Line 59427">
          <a:extLst>
            <a:ext uri="{FF2B5EF4-FFF2-40B4-BE49-F238E27FC236}">
              <a16:creationId xmlns="" xmlns:a16="http://schemas.microsoft.com/office/drawing/2014/main" id="{2396739A-393F-3DC5-0B16-12347A9B0DE7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41" name="Line 59446">
          <a:extLst>
            <a:ext uri="{FF2B5EF4-FFF2-40B4-BE49-F238E27FC236}">
              <a16:creationId xmlns="" xmlns:a16="http://schemas.microsoft.com/office/drawing/2014/main" id="{4F51C19A-6343-9936-4F64-1EF01464B6A1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42" name="Line 59447">
          <a:extLst>
            <a:ext uri="{FF2B5EF4-FFF2-40B4-BE49-F238E27FC236}">
              <a16:creationId xmlns="" xmlns:a16="http://schemas.microsoft.com/office/drawing/2014/main" id="{11A5980B-4C00-D58C-AB11-158B18F90884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43" name="Line 59466">
          <a:extLst>
            <a:ext uri="{FF2B5EF4-FFF2-40B4-BE49-F238E27FC236}">
              <a16:creationId xmlns="" xmlns:a16="http://schemas.microsoft.com/office/drawing/2014/main" id="{FBC72596-0226-025F-9042-0353AF6053B0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44" name="Line 59467">
          <a:extLst>
            <a:ext uri="{FF2B5EF4-FFF2-40B4-BE49-F238E27FC236}">
              <a16:creationId xmlns="" xmlns:a16="http://schemas.microsoft.com/office/drawing/2014/main" id="{2C6615C8-A015-7625-5644-C814C6DB0241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45" name="Line 59486">
          <a:extLst>
            <a:ext uri="{FF2B5EF4-FFF2-40B4-BE49-F238E27FC236}">
              <a16:creationId xmlns="" xmlns:a16="http://schemas.microsoft.com/office/drawing/2014/main" id="{BEC24B7D-72E5-95DF-2DF3-55C29A666504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46" name="Line 59487">
          <a:extLst>
            <a:ext uri="{FF2B5EF4-FFF2-40B4-BE49-F238E27FC236}">
              <a16:creationId xmlns="" xmlns:a16="http://schemas.microsoft.com/office/drawing/2014/main" id="{B6016A55-DD17-4B41-3879-7E3CC27EC7B4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47" name="Line 59508">
          <a:extLst>
            <a:ext uri="{FF2B5EF4-FFF2-40B4-BE49-F238E27FC236}">
              <a16:creationId xmlns="" xmlns:a16="http://schemas.microsoft.com/office/drawing/2014/main" id="{538678A1-12E4-8AA5-DABC-C86A8F3FA4AA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48" name="Line 59509">
          <a:extLst>
            <a:ext uri="{FF2B5EF4-FFF2-40B4-BE49-F238E27FC236}">
              <a16:creationId xmlns="" xmlns:a16="http://schemas.microsoft.com/office/drawing/2014/main" id="{C0DCCA82-70FE-289B-B066-DE35C6962F49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49" name="Line 59510">
          <a:extLst>
            <a:ext uri="{FF2B5EF4-FFF2-40B4-BE49-F238E27FC236}">
              <a16:creationId xmlns="" xmlns:a16="http://schemas.microsoft.com/office/drawing/2014/main" id="{38F918F4-E755-1717-E95D-833E146B7B7F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50" name="Line 59511">
          <a:extLst>
            <a:ext uri="{FF2B5EF4-FFF2-40B4-BE49-F238E27FC236}">
              <a16:creationId xmlns="" xmlns:a16="http://schemas.microsoft.com/office/drawing/2014/main" id="{23B29E54-01E6-18B9-16E7-2D0224D3AB4D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51" name="Line 59512">
          <a:extLst>
            <a:ext uri="{FF2B5EF4-FFF2-40B4-BE49-F238E27FC236}">
              <a16:creationId xmlns="" xmlns:a16="http://schemas.microsoft.com/office/drawing/2014/main" id="{31A2A424-5C15-1E70-8B14-8E6A1DF57A54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52" name="Line 59513">
          <a:extLst>
            <a:ext uri="{FF2B5EF4-FFF2-40B4-BE49-F238E27FC236}">
              <a16:creationId xmlns="" xmlns:a16="http://schemas.microsoft.com/office/drawing/2014/main" id="{6A39844F-EC22-000C-4A9C-0333FC59CD02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53" name="Line 59402">
          <a:extLst>
            <a:ext uri="{FF2B5EF4-FFF2-40B4-BE49-F238E27FC236}">
              <a16:creationId xmlns="" xmlns:a16="http://schemas.microsoft.com/office/drawing/2014/main" id="{1F6F05CD-42F8-B63C-279B-0CCDDDDE1523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54" name="Line 59403">
          <a:extLst>
            <a:ext uri="{FF2B5EF4-FFF2-40B4-BE49-F238E27FC236}">
              <a16:creationId xmlns="" xmlns:a16="http://schemas.microsoft.com/office/drawing/2014/main" id="{7D13B127-7B70-00A9-5C68-8A8B38327FE4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55" name="Line 59422">
          <a:extLst>
            <a:ext uri="{FF2B5EF4-FFF2-40B4-BE49-F238E27FC236}">
              <a16:creationId xmlns="" xmlns:a16="http://schemas.microsoft.com/office/drawing/2014/main" id="{1C9BF330-EECF-E619-60A0-1D0392FCBF4D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56" name="Line 59423">
          <a:extLst>
            <a:ext uri="{FF2B5EF4-FFF2-40B4-BE49-F238E27FC236}">
              <a16:creationId xmlns="" xmlns:a16="http://schemas.microsoft.com/office/drawing/2014/main" id="{CA7D2150-35F4-2C59-E115-9F7194077190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57" name="Line 59442">
          <a:extLst>
            <a:ext uri="{FF2B5EF4-FFF2-40B4-BE49-F238E27FC236}">
              <a16:creationId xmlns="" xmlns:a16="http://schemas.microsoft.com/office/drawing/2014/main" id="{E43C2C92-1369-A97D-41C2-A0229A6150E9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58" name="Line 59443">
          <a:extLst>
            <a:ext uri="{FF2B5EF4-FFF2-40B4-BE49-F238E27FC236}">
              <a16:creationId xmlns="" xmlns:a16="http://schemas.microsoft.com/office/drawing/2014/main" id="{341E8A76-43C9-57B5-ADDB-CE199B75D70C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59" name="Line 59462">
          <a:extLst>
            <a:ext uri="{FF2B5EF4-FFF2-40B4-BE49-F238E27FC236}">
              <a16:creationId xmlns="" xmlns:a16="http://schemas.microsoft.com/office/drawing/2014/main" id="{86021DD1-B73F-8B4F-0CC9-63A81A9B91E3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60" name="Line 59463">
          <a:extLst>
            <a:ext uri="{FF2B5EF4-FFF2-40B4-BE49-F238E27FC236}">
              <a16:creationId xmlns="" xmlns:a16="http://schemas.microsoft.com/office/drawing/2014/main" id="{3A3ABC5A-36EB-2A5A-5D17-E29B41B2C089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61" name="Line 59482">
          <a:extLst>
            <a:ext uri="{FF2B5EF4-FFF2-40B4-BE49-F238E27FC236}">
              <a16:creationId xmlns="" xmlns:a16="http://schemas.microsoft.com/office/drawing/2014/main" id="{CFAA2DE0-ACFA-38A4-2415-70F4CF8D90DF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62" name="Line 59483">
          <a:extLst>
            <a:ext uri="{FF2B5EF4-FFF2-40B4-BE49-F238E27FC236}">
              <a16:creationId xmlns="" xmlns:a16="http://schemas.microsoft.com/office/drawing/2014/main" id="{D6159033-DEB8-6FCA-72B6-B53D4F76DBAB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63" name="Line 59502">
          <a:extLst>
            <a:ext uri="{FF2B5EF4-FFF2-40B4-BE49-F238E27FC236}">
              <a16:creationId xmlns="" xmlns:a16="http://schemas.microsoft.com/office/drawing/2014/main" id="{762F3A60-41B4-0BFC-2574-2957CB8FAD48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64" name="Line 59503">
          <a:extLst>
            <a:ext uri="{FF2B5EF4-FFF2-40B4-BE49-F238E27FC236}">
              <a16:creationId xmlns="" xmlns:a16="http://schemas.microsoft.com/office/drawing/2014/main" id="{40A7C676-02DE-2881-8680-1ED6A4F203FB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65" name="Line 59406">
          <a:extLst>
            <a:ext uri="{FF2B5EF4-FFF2-40B4-BE49-F238E27FC236}">
              <a16:creationId xmlns="" xmlns:a16="http://schemas.microsoft.com/office/drawing/2014/main" id="{F80108FD-9C8D-33B5-3F91-F89D80AE3393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66" name="Line 59407">
          <a:extLst>
            <a:ext uri="{FF2B5EF4-FFF2-40B4-BE49-F238E27FC236}">
              <a16:creationId xmlns="" xmlns:a16="http://schemas.microsoft.com/office/drawing/2014/main" id="{F48272F3-2A35-7D76-D831-8F30B74188FB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67" name="Line 59426">
          <a:extLst>
            <a:ext uri="{FF2B5EF4-FFF2-40B4-BE49-F238E27FC236}">
              <a16:creationId xmlns="" xmlns:a16="http://schemas.microsoft.com/office/drawing/2014/main" id="{95C47B95-3E25-8CCB-7F5E-D1421D133659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68" name="Line 59427">
          <a:extLst>
            <a:ext uri="{FF2B5EF4-FFF2-40B4-BE49-F238E27FC236}">
              <a16:creationId xmlns="" xmlns:a16="http://schemas.microsoft.com/office/drawing/2014/main" id="{8C443D37-CF93-4F4B-F86E-7FE5B6645F21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69" name="Line 59446">
          <a:extLst>
            <a:ext uri="{FF2B5EF4-FFF2-40B4-BE49-F238E27FC236}">
              <a16:creationId xmlns="" xmlns:a16="http://schemas.microsoft.com/office/drawing/2014/main" id="{2018D45C-8D12-2345-D41B-87C05DD7EEB4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70" name="Line 59447">
          <a:extLst>
            <a:ext uri="{FF2B5EF4-FFF2-40B4-BE49-F238E27FC236}">
              <a16:creationId xmlns="" xmlns:a16="http://schemas.microsoft.com/office/drawing/2014/main" id="{B9CF840F-406F-1032-C36B-2BFE8C64FDB5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71" name="Line 59466">
          <a:extLst>
            <a:ext uri="{FF2B5EF4-FFF2-40B4-BE49-F238E27FC236}">
              <a16:creationId xmlns="" xmlns:a16="http://schemas.microsoft.com/office/drawing/2014/main" id="{3C03ABE7-D60B-0272-0E1F-B6298FFA734D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72" name="Line 59467">
          <a:extLst>
            <a:ext uri="{FF2B5EF4-FFF2-40B4-BE49-F238E27FC236}">
              <a16:creationId xmlns="" xmlns:a16="http://schemas.microsoft.com/office/drawing/2014/main" id="{18694C83-7251-0B96-3C5D-DCC0061E2977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73" name="Line 59486">
          <a:extLst>
            <a:ext uri="{FF2B5EF4-FFF2-40B4-BE49-F238E27FC236}">
              <a16:creationId xmlns="" xmlns:a16="http://schemas.microsoft.com/office/drawing/2014/main" id="{864B061B-86C2-D97C-AE18-DD035F989BA6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74" name="Line 59487">
          <a:extLst>
            <a:ext uri="{FF2B5EF4-FFF2-40B4-BE49-F238E27FC236}">
              <a16:creationId xmlns="" xmlns:a16="http://schemas.microsoft.com/office/drawing/2014/main" id="{C5D7A2C1-DE5E-9618-FC59-191A25FBE0D3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75" name="Line 59508">
          <a:extLst>
            <a:ext uri="{FF2B5EF4-FFF2-40B4-BE49-F238E27FC236}">
              <a16:creationId xmlns="" xmlns:a16="http://schemas.microsoft.com/office/drawing/2014/main" id="{1EB65944-3C69-350D-3168-74B3DB8E1FDD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76" name="Line 59509">
          <a:extLst>
            <a:ext uri="{FF2B5EF4-FFF2-40B4-BE49-F238E27FC236}">
              <a16:creationId xmlns="" xmlns:a16="http://schemas.microsoft.com/office/drawing/2014/main" id="{9C147854-AAB1-33C6-5636-A403C1ED71CE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77" name="Line 59510">
          <a:extLst>
            <a:ext uri="{FF2B5EF4-FFF2-40B4-BE49-F238E27FC236}">
              <a16:creationId xmlns="" xmlns:a16="http://schemas.microsoft.com/office/drawing/2014/main" id="{B64781F6-BA52-6BDD-E692-0E5381596842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78" name="Line 59511">
          <a:extLst>
            <a:ext uri="{FF2B5EF4-FFF2-40B4-BE49-F238E27FC236}">
              <a16:creationId xmlns="" xmlns:a16="http://schemas.microsoft.com/office/drawing/2014/main" id="{5C0DB846-E856-B2A7-2A28-8B4B0FF0D01E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79" name="Line 59512">
          <a:extLst>
            <a:ext uri="{FF2B5EF4-FFF2-40B4-BE49-F238E27FC236}">
              <a16:creationId xmlns="" xmlns:a16="http://schemas.microsoft.com/office/drawing/2014/main" id="{BCC47B4E-6872-5339-C780-AFF2ABD61CE2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5180" name="Line 59513">
          <a:extLst>
            <a:ext uri="{FF2B5EF4-FFF2-40B4-BE49-F238E27FC236}">
              <a16:creationId xmlns="" xmlns:a16="http://schemas.microsoft.com/office/drawing/2014/main" id="{03E5B86E-DE5D-88AD-A05F-8B318E58DBF8}"/>
            </a:ext>
          </a:extLst>
        </xdr:cNvPr>
        <xdr:cNvSpPr>
          <a:spLocks noChangeShapeType="1"/>
        </xdr:cNvSpPr>
      </xdr:nvSpPr>
      <xdr:spPr bwMode="auto">
        <a:xfrm>
          <a:off x="920750" y="214439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81" name="Line 59402">
          <a:extLst>
            <a:ext uri="{FF2B5EF4-FFF2-40B4-BE49-F238E27FC236}">
              <a16:creationId xmlns="" xmlns:a16="http://schemas.microsoft.com/office/drawing/2014/main" id="{795FB226-32A4-B007-E725-15090F7E4D93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82" name="Line 59403">
          <a:extLst>
            <a:ext uri="{FF2B5EF4-FFF2-40B4-BE49-F238E27FC236}">
              <a16:creationId xmlns="" xmlns:a16="http://schemas.microsoft.com/office/drawing/2014/main" id="{8129601D-C32C-3F55-3CEB-03F5B68730AA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83" name="Line 59422">
          <a:extLst>
            <a:ext uri="{FF2B5EF4-FFF2-40B4-BE49-F238E27FC236}">
              <a16:creationId xmlns="" xmlns:a16="http://schemas.microsoft.com/office/drawing/2014/main" id="{81118158-CAFD-76E4-E648-A2686D847DF6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84" name="Line 59423">
          <a:extLst>
            <a:ext uri="{FF2B5EF4-FFF2-40B4-BE49-F238E27FC236}">
              <a16:creationId xmlns="" xmlns:a16="http://schemas.microsoft.com/office/drawing/2014/main" id="{1B10E6AD-B5A1-310F-14E2-C0DC3A8E295A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85" name="Line 59442">
          <a:extLst>
            <a:ext uri="{FF2B5EF4-FFF2-40B4-BE49-F238E27FC236}">
              <a16:creationId xmlns="" xmlns:a16="http://schemas.microsoft.com/office/drawing/2014/main" id="{FC27BD41-3F9D-055C-15B4-8BA2EF7D9601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86" name="Line 59443">
          <a:extLst>
            <a:ext uri="{FF2B5EF4-FFF2-40B4-BE49-F238E27FC236}">
              <a16:creationId xmlns="" xmlns:a16="http://schemas.microsoft.com/office/drawing/2014/main" id="{E89E1B1B-3338-C984-5349-22FEDCD17108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87" name="Line 59462">
          <a:extLst>
            <a:ext uri="{FF2B5EF4-FFF2-40B4-BE49-F238E27FC236}">
              <a16:creationId xmlns="" xmlns:a16="http://schemas.microsoft.com/office/drawing/2014/main" id="{D7316407-625F-AF37-6D53-18FDEF87BF4E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88" name="Line 59463">
          <a:extLst>
            <a:ext uri="{FF2B5EF4-FFF2-40B4-BE49-F238E27FC236}">
              <a16:creationId xmlns="" xmlns:a16="http://schemas.microsoft.com/office/drawing/2014/main" id="{5F66CD62-984B-AC8B-CA86-D20DB3011D51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96</xdr:row>
      <xdr:rowOff>0</xdr:rowOff>
    </xdr:from>
    <xdr:to>
      <xdr:col>11</xdr:col>
      <xdr:colOff>25400</xdr:colOff>
      <xdr:row>96</xdr:row>
      <xdr:rowOff>0</xdr:rowOff>
    </xdr:to>
    <xdr:sp macro="" textlink="">
      <xdr:nvSpPr>
        <xdr:cNvPr id="125189" name="Line 59482">
          <a:extLst>
            <a:ext uri="{FF2B5EF4-FFF2-40B4-BE49-F238E27FC236}">
              <a16:creationId xmlns="" xmlns:a16="http://schemas.microsoft.com/office/drawing/2014/main" id="{E2859D10-96CF-3F8E-B414-E6530C097792}"/>
            </a:ext>
          </a:extLst>
        </xdr:cNvPr>
        <xdr:cNvSpPr>
          <a:spLocks noChangeShapeType="1"/>
        </xdr:cNvSpPr>
      </xdr:nvSpPr>
      <xdr:spPr bwMode="auto">
        <a:xfrm>
          <a:off x="317500" y="21405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90" name="Line 59483">
          <a:extLst>
            <a:ext uri="{FF2B5EF4-FFF2-40B4-BE49-F238E27FC236}">
              <a16:creationId xmlns="" xmlns:a16="http://schemas.microsoft.com/office/drawing/2014/main" id="{BADA49CA-7252-9768-7F6F-13901FF9943C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19050</xdr:rowOff>
    </xdr:from>
    <xdr:to>
      <xdr:col>5</xdr:col>
      <xdr:colOff>0</xdr:colOff>
      <xdr:row>96</xdr:row>
      <xdr:rowOff>266700</xdr:rowOff>
    </xdr:to>
    <xdr:sp macro="" textlink="">
      <xdr:nvSpPr>
        <xdr:cNvPr id="125191" name="Line 59503">
          <a:extLst>
            <a:ext uri="{FF2B5EF4-FFF2-40B4-BE49-F238E27FC236}">
              <a16:creationId xmlns="" xmlns:a16="http://schemas.microsoft.com/office/drawing/2014/main" id="{89310881-5CB0-F3ED-D92D-D0ED23B7380B}"/>
            </a:ext>
          </a:extLst>
        </xdr:cNvPr>
        <xdr:cNvSpPr>
          <a:spLocks noChangeShapeType="1"/>
        </xdr:cNvSpPr>
      </xdr:nvSpPr>
      <xdr:spPr bwMode="auto">
        <a:xfrm>
          <a:off x="920750" y="214249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5" name="Line 59397">
          <a:extLst>
            <a:ext uri="{FF2B5EF4-FFF2-40B4-BE49-F238E27FC236}">
              <a16:creationId xmlns="" xmlns:a16="http://schemas.microsoft.com/office/drawing/2014/main" id="{E6B70CD3-7B4C-4283-AD25-BC9702256FE1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7" name="Line 59417">
          <a:extLst>
            <a:ext uri="{FF2B5EF4-FFF2-40B4-BE49-F238E27FC236}">
              <a16:creationId xmlns="" xmlns:a16="http://schemas.microsoft.com/office/drawing/2014/main" id="{6DBAC788-4340-4189-95D8-E9A778CB5EE7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9" name="Line 59437">
          <a:extLst>
            <a:ext uri="{FF2B5EF4-FFF2-40B4-BE49-F238E27FC236}">
              <a16:creationId xmlns="" xmlns:a16="http://schemas.microsoft.com/office/drawing/2014/main" id="{062E101A-84F2-41C6-997D-B2A8070B4319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11" name="Line 59457">
          <a:extLst>
            <a:ext uri="{FF2B5EF4-FFF2-40B4-BE49-F238E27FC236}">
              <a16:creationId xmlns="" xmlns:a16="http://schemas.microsoft.com/office/drawing/2014/main" id="{618B76A9-6DBF-40A1-9E29-F5CA018EFB57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13" name="Line 59477">
          <a:extLst>
            <a:ext uri="{FF2B5EF4-FFF2-40B4-BE49-F238E27FC236}">
              <a16:creationId xmlns="" xmlns:a16="http://schemas.microsoft.com/office/drawing/2014/main" id="{DB869F46-9141-4623-A2C9-71B11EF2A3FD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15" name="Line 59497">
          <a:extLst>
            <a:ext uri="{FF2B5EF4-FFF2-40B4-BE49-F238E27FC236}">
              <a16:creationId xmlns="" xmlns:a16="http://schemas.microsoft.com/office/drawing/2014/main" id="{13FF20CA-E3CE-43E8-8555-CEC29663F207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17" name="Line 59680">
          <a:extLst>
            <a:ext uri="{FF2B5EF4-FFF2-40B4-BE49-F238E27FC236}">
              <a16:creationId xmlns="" xmlns:a16="http://schemas.microsoft.com/office/drawing/2014/main" id="{2FD4600E-B0D3-423B-9BB0-C0C2534BDAAD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19" name="Line 59682">
          <a:extLst>
            <a:ext uri="{FF2B5EF4-FFF2-40B4-BE49-F238E27FC236}">
              <a16:creationId xmlns="" xmlns:a16="http://schemas.microsoft.com/office/drawing/2014/main" id="{1497A81B-9492-460F-B85D-55D78F02EBFC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21" name="Line 59684">
          <a:extLst>
            <a:ext uri="{FF2B5EF4-FFF2-40B4-BE49-F238E27FC236}">
              <a16:creationId xmlns="" xmlns:a16="http://schemas.microsoft.com/office/drawing/2014/main" id="{6B20B081-FBEB-43AB-8B39-DCD49512ED0C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23" name="Line 59686">
          <a:extLst>
            <a:ext uri="{FF2B5EF4-FFF2-40B4-BE49-F238E27FC236}">
              <a16:creationId xmlns="" xmlns:a16="http://schemas.microsoft.com/office/drawing/2014/main" id="{FE17C411-BA24-427C-B3C3-BF32693C2AB2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25" name="Line 59688">
          <a:extLst>
            <a:ext uri="{FF2B5EF4-FFF2-40B4-BE49-F238E27FC236}">
              <a16:creationId xmlns="" xmlns:a16="http://schemas.microsoft.com/office/drawing/2014/main" id="{A2D94DD7-AABB-445F-ADFB-B744015F4DFE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27" name="Line 59690">
          <a:extLst>
            <a:ext uri="{FF2B5EF4-FFF2-40B4-BE49-F238E27FC236}">
              <a16:creationId xmlns="" xmlns:a16="http://schemas.microsoft.com/office/drawing/2014/main" id="{D7FBAA31-100C-4CD4-B0FD-50E987FA197A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29" name="Line 59692">
          <a:extLst>
            <a:ext uri="{FF2B5EF4-FFF2-40B4-BE49-F238E27FC236}">
              <a16:creationId xmlns="" xmlns:a16="http://schemas.microsoft.com/office/drawing/2014/main" id="{AAB6F850-A686-473B-911C-839D021B7F12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31" name="Line 59694">
          <a:extLst>
            <a:ext uri="{FF2B5EF4-FFF2-40B4-BE49-F238E27FC236}">
              <a16:creationId xmlns="" xmlns:a16="http://schemas.microsoft.com/office/drawing/2014/main" id="{3F9447A6-D2D7-47A9-A2E1-D63EE127C329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33" name="Line 59696">
          <a:extLst>
            <a:ext uri="{FF2B5EF4-FFF2-40B4-BE49-F238E27FC236}">
              <a16:creationId xmlns="" xmlns:a16="http://schemas.microsoft.com/office/drawing/2014/main" id="{0CC4B7F5-8D3E-43A7-B7F2-3DD2E0DAE3E5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35" name="Line 59698">
          <a:extLst>
            <a:ext uri="{FF2B5EF4-FFF2-40B4-BE49-F238E27FC236}">
              <a16:creationId xmlns="" xmlns:a16="http://schemas.microsoft.com/office/drawing/2014/main" id="{C51E8DA1-081F-4C1D-B1CE-89C61B2F253C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37" name="Line 59700">
          <a:extLst>
            <a:ext uri="{FF2B5EF4-FFF2-40B4-BE49-F238E27FC236}">
              <a16:creationId xmlns="" xmlns:a16="http://schemas.microsoft.com/office/drawing/2014/main" id="{CBB195E1-770C-4077-A5F1-48A61F1F4FFB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39" name="Line 59702">
          <a:extLst>
            <a:ext uri="{FF2B5EF4-FFF2-40B4-BE49-F238E27FC236}">
              <a16:creationId xmlns="" xmlns:a16="http://schemas.microsoft.com/office/drawing/2014/main" id="{9182920E-12F1-4A80-967A-95A5114CE2D3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41" name="Line 59704">
          <a:extLst>
            <a:ext uri="{FF2B5EF4-FFF2-40B4-BE49-F238E27FC236}">
              <a16:creationId xmlns="" xmlns:a16="http://schemas.microsoft.com/office/drawing/2014/main" id="{FDB55D2B-3EFF-45BE-8A64-F7ABF2906AF5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43" name="Line 59706">
          <a:extLst>
            <a:ext uri="{FF2B5EF4-FFF2-40B4-BE49-F238E27FC236}">
              <a16:creationId xmlns="" xmlns:a16="http://schemas.microsoft.com/office/drawing/2014/main" id="{7FF1AA0A-1509-414E-BBA1-D279677768E9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45" name="Line 59708">
          <a:extLst>
            <a:ext uri="{FF2B5EF4-FFF2-40B4-BE49-F238E27FC236}">
              <a16:creationId xmlns="" xmlns:a16="http://schemas.microsoft.com/office/drawing/2014/main" id="{CB39E4E9-0F1F-4D68-B8AB-DB1F7498D9A7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47" name="Line 59710">
          <a:extLst>
            <a:ext uri="{FF2B5EF4-FFF2-40B4-BE49-F238E27FC236}">
              <a16:creationId xmlns="" xmlns:a16="http://schemas.microsoft.com/office/drawing/2014/main" id="{E6333D60-7868-4D92-8543-FF93143902F6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49" name="Line 59712">
          <a:extLst>
            <a:ext uri="{FF2B5EF4-FFF2-40B4-BE49-F238E27FC236}">
              <a16:creationId xmlns="" xmlns:a16="http://schemas.microsoft.com/office/drawing/2014/main" id="{2D4E364D-4887-4C61-AD0D-77DDAF674E36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51" name="Line 59714">
          <a:extLst>
            <a:ext uri="{FF2B5EF4-FFF2-40B4-BE49-F238E27FC236}">
              <a16:creationId xmlns="" xmlns:a16="http://schemas.microsoft.com/office/drawing/2014/main" id="{723BADC0-AAC3-464A-9BCA-93E2605A196F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53" name="Line 59716">
          <a:extLst>
            <a:ext uri="{FF2B5EF4-FFF2-40B4-BE49-F238E27FC236}">
              <a16:creationId xmlns="" xmlns:a16="http://schemas.microsoft.com/office/drawing/2014/main" id="{E3114E56-CA4A-43A7-84A4-C868B2F31F1C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55" name="Line 59718">
          <a:extLst>
            <a:ext uri="{FF2B5EF4-FFF2-40B4-BE49-F238E27FC236}">
              <a16:creationId xmlns="" xmlns:a16="http://schemas.microsoft.com/office/drawing/2014/main" id="{CFBC7DDB-AE06-422B-8AFA-7E3A09F05444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57" name="Line 59720">
          <a:extLst>
            <a:ext uri="{FF2B5EF4-FFF2-40B4-BE49-F238E27FC236}">
              <a16:creationId xmlns="" xmlns:a16="http://schemas.microsoft.com/office/drawing/2014/main" id="{E1501056-BA62-4E52-ACF1-CC38BCBE8192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12700</xdr:rowOff>
    </xdr:from>
    <xdr:to>
      <xdr:col>5</xdr:col>
      <xdr:colOff>0</xdr:colOff>
      <xdr:row>49</xdr:row>
      <xdr:rowOff>152400</xdr:rowOff>
    </xdr:to>
    <xdr:sp macro="" textlink="">
      <xdr:nvSpPr>
        <xdr:cNvPr id="59" name="Line 59722">
          <a:extLst>
            <a:ext uri="{FF2B5EF4-FFF2-40B4-BE49-F238E27FC236}">
              <a16:creationId xmlns="" xmlns:a16="http://schemas.microsoft.com/office/drawing/2014/main" id="{09F73F43-BBE5-4A4E-A3C0-84F041E82CE6}"/>
            </a:ext>
          </a:extLst>
        </xdr:cNvPr>
        <xdr:cNvSpPr>
          <a:spLocks noChangeShapeType="1"/>
        </xdr:cNvSpPr>
      </xdr:nvSpPr>
      <xdr:spPr bwMode="auto">
        <a:xfrm>
          <a:off x="920750" y="17367250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60" name="Line 59404">
          <a:extLst>
            <a:ext uri="{FF2B5EF4-FFF2-40B4-BE49-F238E27FC236}">
              <a16:creationId xmlns="" xmlns:a16="http://schemas.microsoft.com/office/drawing/2014/main" id="{ED5965BA-7707-45F3-AC95-8C1E0726BE29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61" name="Line 59405">
          <a:extLst>
            <a:ext uri="{FF2B5EF4-FFF2-40B4-BE49-F238E27FC236}">
              <a16:creationId xmlns="" xmlns:a16="http://schemas.microsoft.com/office/drawing/2014/main" id="{01A9BB60-FA62-4DBD-935D-65D05716C4C9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62" name="Line 59424">
          <a:extLst>
            <a:ext uri="{FF2B5EF4-FFF2-40B4-BE49-F238E27FC236}">
              <a16:creationId xmlns="" xmlns:a16="http://schemas.microsoft.com/office/drawing/2014/main" id="{E4A463E7-378B-468B-B4B3-9B559115C486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63" name="Line 59425">
          <a:extLst>
            <a:ext uri="{FF2B5EF4-FFF2-40B4-BE49-F238E27FC236}">
              <a16:creationId xmlns="" xmlns:a16="http://schemas.microsoft.com/office/drawing/2014/main" id="{935B838E-2CB2-4891-9B52-5347F6B0BDDE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352" name="Line 59444">
          <a:extLst>
            <a:ext uri="{FF2B5EF4-FFF2-40B4-BE49-F238E27FC236}">
              <a16:creationId xmlns="" xmlns:a16="http://schemas.microsoft.com/office/drawing/2014/main" id="{800CBFC3-4C26-4E8B-9786-22535E3DCADF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353" name="Line 59445">
          <a:extLst>
            <a:ext uri="{FF2B5EF4-FFF2-40B4-BE49-F238E27FC236}">
              <a16:creationId xmlns="" xmlns:a16="http://schemas.microsoft.com/office/drawing/2014/main" id="{477EC46F-0DED-4990-8F03-11B8552BBC47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354" name="Line 59464">
          <a:extLst>
            <a:ext uri="{FF2B5EF4-FFF2-40B4-BE49-F238E27FC236}">
              <a16:creationId xmlns="" xmlns:a16="http://schemas.microsoft.com/office/drawing/2014/main" id="{4BC7E556-9855-49E6-8611-D9D5262680EB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355" name="Line 59465">
          <a:extLst>
            <a:ext uri="{FF2B5EF4-FFF2-40B4-BE49-F238E27FC236}">
              <a16:creationId xmlns="" xmlns:a16="http://schemas.microsoft.com/office/drawing/2014/main" id="{5808754A-9FC2-418B-8287-4F36E7CA28C8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356" name="Line 59484">
          <a:extLst>
            <a:ext uri="{FF2B5EF4-FFF2-40B4-BE49-F238E27FC236}">
              <a16:creationId xmlns="" xmlns:a16="http://schemas.microsoft.com/office/drawing/2014/main" id="{2EFD6A23-AC2D-464B-9AE7-2F7E60CA0BE1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357" name="Line 59485">
          <a:extLst>
            <a:ext uri="{FF2B5EF4-FFF2-40B4-BE49-F238E27FC236}">
              <a16:creationId xmlns="" xmlns:a16="http://schemas.microsoft.com/office/drawing/2014/main" id="{9EFFFAEA-B554-4602-BFE5-D80AAFF369FC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358" name="Line 59504">
          <a:extLst>
            <a:ext uri="{FF2B5EF4-FFF2-40B4-BE49-F238E27FC236}">
              <a16:creationId xmlns="" xmlns:a16="http://schemas.microsoft.com/office/drawing/2014/main" id="{3C92641D-25B7-443D-A2FD-9A2216713A29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359" name="Line 59505">
          <a:extLst>
            <a:ext uri="{FF2B5EF4-FFF2-40B4-BE49-F238E27FC236}">
              <a16:creationId xmlns="" xmlns:a16="http://schemas.microsoft.com/office/drawing/2014/main" id="{463ABAE8-D805-472B-A82D-AF05C833F7B5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360" name="Line 59506">
          <a:extLst>
            <a:ext uri="{FF2B5EF4-FFF2-40B4-BE49-F238E27FC236}">
              <a16:creationId xmlns="" xmlns:a16="http://schemas.microsoft.com/office/drawing/2014/main" id="{9CF85CC1-BE88-43FE-BD03-C7CDF434E286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361" name="Line 59507">
          <a:extLst>
            <a:ext uri="{FF2B5EF4-FFF2-40B4-BE49-F238E27FC236}">
              <a16:creationId xmlns="" xmlns:a16="http://schemas.microsoft.com/office/drawing/2014/main" id="{C305F2D8-06BA-4409-8995-26C39394260C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362" name="Line 59767">
          <a:extLst>
            <a:ext uri="{FF2B5EF4-FFF2-40B4-BE49-F238E27FC236}">
              <a16:creationId xmlns="" xmlns:a16="http://schemas.microsoft.com/office/drawing/2014/main" id="{8457E3FD-B48C-4A97-894B-5A4FFAF5B147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363" name="Line 59768">
          <a:extLst>
            <a:ext uri="{FF2B5EF4-FFF2-40B4-BE49-F238E27FC236}">
              <a16:creationId xmlns="" xmlns:a16="http://schemas.microsoft.com/office/drawing/2014/main" id="{09CB34A2-9C0A-467D-B313-BE9C89BDAE81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364" name="Line 59769">
          <a:extLst>
            <a:ext uri="{FF2B5EF4-FFF2-40B4-BE49-F238E27FC236}">
              <a16:creationId xmlns="" xmlns:a16="http://schemas.microsoft.com/office/drawing/2014/main" id="{2B17EA41-5107-465D-9EA5-F24E158890CF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365" name="Line 59770">
          <a:extLst>
            <a:ext uri="{FF2B5EF4-FFF2-40B4-BE49-F238E27FC236}">
              <a16:creationId xmlns="" xmlns:a16="http://schemas.microsoft.com/office/drawing/2014/main" id="{96ED452A-F1A7-4B65-B0A0-89E6BB1F1B92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366" name="Line 59771">
          <a:extLst>
            <a:ext uri="{FF2B5EF4-FFF2-40B4-BE49-F238E27FC236}">
              <a16:creationId xmlns="" xmlns:a16="http://schemas.microsoft.com/office/drawing/2014/main" id="{901BCE0F-6A04-4A8F-AD0B-3A81D335B30A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368" name="Line 59772">
          <a:extLst>
            <a:ext uri="{FF2B5EF4-FFF2-40B4-BE49-F238E27FC236}">
              <a16:creationId xmlns="" xmlns:a16="http://schemas.microsoft.com/office/drawing/2014/main" id="{6DAE4231-BA1C-4DA0-B25D-EE8B1DE4A679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369" name="Line 59773">
          <a:extLst>
            <a:ext uri="{FF2B5EF4-FFF2-40B4-BE49-F238E27FC236}">
              <a16:creationId xmlns="" xmlns:a16="http://schemas.microsoft.com/office/drawing/2014/main" id="{F4725E4B-A84E-485B-ADF1-20E644D1816F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370" name="Line 59774">
          <a:extLst>
            <a:ext uri="{FF2B5EF4-FFF2-40B4-BE49-F238E27FC236}">
              <a16:creationId xmlns="" xmlns:a16="http://schemas.microsoft.com/office/drawing/2014/main" id="{D1766D79-AD00-4B70-94ED-A63D40A25192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371" name="Line 59775">
          <a:extLst>
            <a:ext uri="{FF2B5EF4-FFF2-40B4-BE49-F238E27FC236}">
              <a16:creationId xmlns="" xmlns:a16="http://schemas.microsoft.com/office/drawing/2014/main" id="{25E3AC0A-C8F7-483C-83DB-987DC5C2B59F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372" name="Line 59776">
          <a:extLst>
            <a:ext uri="{FF2B5EF4-FFF2-40B4-BE49-F238E27FC236}">
              <a16:creationId xmlns="" xmlns:a16="http://schemas.microsoft.com/office/drawing/2014/main" id="{6B76FCDB-CFA8-4891-B43D-F0163766CA7E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139700</xdr:colOff>
      <xdr:row>57</xdr:row>
      <xdr:rowOff>0</xdr:rowOff>
    </xdr:from>
    <xdr:to>
      <xdr:col>11</xdr:col>
      <xdr:colOff>38100</xdr:colOff>
      <xdr:row>57</xdr:row>
      <xdr:rowOff>0</xdr:rowOff>
    </xdr:to>
    <xdr:sp macro="" textlink="">
      <xdr:nvSpPr>
        <xdr:cNvPr id="124373" name="Line 59777">
          <a:extLst>
            <a:ext uri="{FF2B5EF4-FFF2-40B4-BE49-F238E27FC236}">
              <a16:creationId xmlns="" xmlns:a16="http://schemas.microsoft.com/office/drawing/2014/main" id="{C3827576-1CE3-496D-B9EE-DD295EBB402C}"/>
            </a:ext>
          </a:extLst>
        </xdr:cNvPr>
        <xdr:cNvSpPr>
          <a:spLocks noChangeShapeType="1"/>
        </xdr:cNvSpPr>
      </xdr:nvSpPr>
      <xdr:spPr bwMode="auto">
        <a:xfrm>
          <a:off x="323850" y="19881850"/>
          <a:ext cx="173990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374" name="Line 59778">
          <a:extLst>
            <a:ext uri="{FF2B5EF4-FFF2-40B4-BE49-F238E27FC236}">
              <a16:creationId xmlns="" xmlns:a16="http://schemas.microsoft.com/office/drawing/2014/main" id="{A8DEE268-EB9A-4C63-8189-1187A5B396B9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17" name="Line 59779">
          <a:extLst>
            <a:ext uri="{FF2B5EF4-FFF2-40B4-BE49-F238E27FC236}">
              <a16:creationId xmlns="" xmlns:a16="http://schemas.microsoft.com/office/drawing/2014/main" id="{3CED2469-2EC1-4DC2-A203-34CCD1F481E0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18" name="Line 59780">
          <a:extLst>
            <a:ext uri="{FF2B5EF4-FFF2-40B4-BE49-F238E27FC236}">
              <a16:creationId xmlns="" xmlns:a16="http://schemas.microsoft.com/office/drawing/2014/main" id="{CD7D03C2-236A-415B-9791-D72B1FF18491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19" name="Line 59781">
          <a:extLst>
            <a:ext uri="{FF2B5EF4-FFF2-40B4-BE49-F238E27FC236}">
              <a16:creationId xmlns="" xmlns:a16="http://schemas.microsoft.com/office/drawing/2014/main" id="{AE133CD9-3B7D-4860-8217-4567080CFE4D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20" name="Line 59782">
          <a:extLst>
            <a:ext uri="{FF2B5EF4-FFF2-40B4-BE49-F238E27FC236}">
              <a16:creationId xmlns="" xmlns:a16="http://schemas.microsoft.com/office/drawing/2014/main" id="{A1AA0AC6-DD25-422D-8C02-83322D83D34B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25" name="Line 59783">
          <a:extLst>
            <a:ext uri="{FF2B5EF4-FFF2-40B4-BE49-F238E27FC236}">
              <a16:creationId xmlns="" xmlns:a16="http://schemas.microsoft.com/office/drawing/2014/main" id="{7EE5E640-F6C0-49D1-9701-AED0B44B3273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26" name="Line 59784">
          <a:extLst>
            <a:ext uri="{FF2B5EF4-FFF2-40B4-BE49-F238E27FC236}">
              <a16:creationId xmlns="" xmlns:a16="http://schemas.microsoft.com/office/drawing/2014/main" id="{9070D5E2-4EE0-4D10-BDC5-6C20EF1E1E12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27" name="Line 59785">
          <a:extLst>
            <a:ext uri="{FF2B5EF4-FFF2-40B4-BE49-F238E27FC236}">
              <a16:creationId xmlns="" xmlns:a16="http://schemas.microsoft.com/office/drawing/2014/main" id="{6F7FC0B5-6B59-48A1-92A9-7683844AE145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28" name="Line 59786">
          <a:extLst>
            <a:ext uri="{FF2B5EF4-FFF2-40B4-BE49-F238E27FC236}">
              <a16:creationId xmlns="" xmlns:a16="http://schemas.microsoft.com/office/drawing/2014/main" id="{1123D93A-433E-4260-98FF-F48D6A4C3D38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33" name="Line 59787">
          <a:extLst>
            <a:ext uri="{FF2B5EF4-FFF2-40B4-BE49-F238E27FC236}">
              <a16:creationId xmlns="" xmlns:a16="http://schemas.microsoft.com/office/drawing/2014/main" id="{B211CBD6-F42A-47D2-9311-97674BBCCCAA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34" name="Line 59788">
          <a:extLst>
            <a:ext uri="{FF2B5EF4-FFF2-40B4-BE49-F238E27FC236}">
              <a16:creationId xmlns="" xmlns:a16="http://schemas.microsoft.com/office/drawing/2014/main" id="{9D3BF5C2-3CE3-4ED8-8ECB-40F3909F3CA0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35" name="Line 59789">
          <a:extLst>
            <a:ext uri="{FF2B5EF4-FFF2-40B4-BE49-F238E27FC236}">
              <a16:creationId xmlns="" xmlns:a16="http://schemas.microsoft.com/office/drawing/2014/main" id="{01DDFA5C-2FD6-4B54-BC1C-60A80B0DF463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36" name="Line 59790">
          <a:extLst>
            <a:ext uri="{FF2B5EF4-FFF2-40B4-BE49-F238E27FC236}">
              <a16:creationId xmlns="" xmlns:a16="http://schemas.microsoft.com/office/drawing/2014/main" id="{BEF30372-C44A-4765-975E-3DFC9A2E08F6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41" name="Line 59791">
          <a:extLst>
            <a:ext uri="{FF2B5EF4-FFF2-40B4-BE49-F238E27FC236}">
              <a16:creationId xmlns="" xmlns:a16="http://schemas.microsoft.com/office/drawing/2014/main" id="{2CD231A7-BDAE-49F0-B75B-5C5B534C1343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42" name="Line 59792">
          <a:extLst>
            <a:ext uri="{FF2B5EF4-FFF2-40B4-BE49-F238E27FC236}">
              <a16:creationId xmlns="" xmlns:a16="http://schemas.microsoft.com/office/drawing/2014/main" id="{596DCBE6-32E9-4746-99CF-55121492492F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43" name="Line 59793">
          <a:extLst>
            <a:ext uri="{FF2B5EF4-FFF2-40B4-BE49-F238E27FC236}">
              <a16:creationId xmlns="" xmlns:a16="http://schemas.microsoft.com/office/drawing/2014/main" id="{8143F913-C086-4D36-ABE4-663754D89C5F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44" name="Line 59794">
          <a:extLst>
            <a:ext uri="{FF2B5EF4-FFF2-40B4-BE49-F238E27FC236}">
              <a16:creationId xmlns="" xmlns:a16="http://schemas.microsoft.com/office/drawing/2014/main" id="{7E896B66-5E6B-4DAC-9A3B-6038BC2BA678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49" name="Line 59795">
          <a:extLst>
            <a:ext uri="{FF2B5EF4-FFF2-40B4-BE49-F238E27FC236}">
              <a16:creationId xmlns="" xmlns:a16="http://schemas.microsoft.com/office/drawing/2014/main" id="{72C77B19-7A8F-484D-8A67-CBF968E2F3A5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50" name="Line 59796">
          <a:extLst>
            <a:ext uri="{FF2B5EF4-FFF2-40B4-BE49-F238E27FC236}">
              <a16:creationId xmlns="" xmlns:a16="http://schemas.microsoft.com/office/drawing/2014/main" id="{F2E2A2B0-B75D-4919-B9A3-813DDA6C3CC7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51" name="Line 59797">
          <a:extLst>
            <a:ext uri="{FF2B5EF4-FFF2-40B4-BE49-F238E27FC236}">
              <a16:creationId xmlns="" xmlns:a16="http://schemas.microsoft.com/office/drawing/2014/main" id="{8D3E1094-5AA5-44C3-A687-0F8224BE05F6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52" name="Line 59798">
          <a:extLst>
            <a:ext uri="{FF2B5EF4-FFF2-40B4-BE49-F238E27FC236}">
              <a16:creationId xmlns="" xmlns:a16="http://schemas.microsoft.com/office/drawing/2014/main" id="{CC229E0E-46F7-415B-A71F-E3CF6F3E0E01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57" name="Line 59799">
          <a:extLst>
            <a:ext uri="{FF2B5EF4-FFF2-40B4-BE49-F238E27FC236}">
              <a16:creationId xmlns="" xmlns:a16="http://schemas.microsoft.com/office/drawing/2014/main" id="{4AA3FADB-E8E4-4760-8A11-22885C4C42B4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58" name="Line 59800">
          <a:extLst>
            <a:ext uri="{FF2B5EF4-FFF2-40B4-BE49-F238E27FC236}">
              <a16:creationId xmlns="" xmlns:a16="http://schemas.microsoft.com/office/drawing/2014/main" id="{FD44D97F-A3D6-49D1-A384-0EC4C06CFFB1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59" name="Line 59801">
          <a:extLst>
            <a:ext uri="{FF2B5EF4-FFF2-40B4-BE49-F238E27FC236}">
              <a16:creationId xmlns="" xmlns:a16="http://schemas.microsoft.com/office/drawing/2014/main" id="{A89115E3-2E51-401B-B02A-BF82AA8E8B77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60" name="Line 59802">
          <a:extLst>
            <a:ext uri="{FF2B5EF4-FFF2-40B4-BE49-F238E27FC236}">
              <a16:creationId xmlns="" xmlns:a16="http://schemas.microsoft.com/office/drawing/2014/main" id="{BB0CFF15-7755-4B31-9CCA-9964E041A883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71" name="Line 59803">
          <a:extLst>
            <a:ext uri="{FF2B5EF4-FFF2-40B4-BE49-F238E27FC236}">
              <a16:creationId xmlns="" xmlns:a16="http://schemas.microsoft.com/office/drawing/2014/main" id="{DB745762-CC42-4A4A-B9CD-24B25DCAF205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72" name="Line 59804">
          <a:extLst>
            <a:ext uri="{FF2B5EF4-FFF2-40B4-BE49-F238E27FC236}">
              <a16:creationId xmlns="" xmlns:a16="http://schemas.microsoft.com/office/drawing/2014/main" id="{305F7FB3-B9FE-4EB5-8FB7-3E5645454D9A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73" name="Line 59805">
          <a:extLst>
            <a:ext uri="{FF2B5EF4-FFF2-40B4-BE49-F238E27FC236}">
              <a16:creationId xmlns="" xmlns:a16="http://schemas.microsoft.com/office/drawing/2014/main" id="{9FE82714-3895-45E3-9ECD-73CD0F840676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74" name="Line 59806">
          <a:extLst>
            <a:ext uri="{FF2B5EF4-FFF2-40B4-BE49-F238E27FC236}">
              <a16:creationId xmlns="" xmlns:a16="http://schemas.microsoft.com/office/drawing/2014/main" id="{83B40C39-967C-4E12-98FD-A7399BCC28C1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79" name="Line 59807">
          <a:extLst>
            <a:ext uri="{FF2B5EF4-FFF2-40B4-BE49-F238E27FC236}">
              <a16:creationId xmlns="" xmlns:a16="http://schemas.microsoft.com/office/drawing/2014/main" id="{4609204B-5339-497C-B0A2-34714A0CB58E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80" name="Line 59808">
          <a:extLst>
            <a:ext uri="{FF2B5EF4-FFF2-40B4-BE49-F238E27FC236}">
              <a16:creationId xmlns="" xmlns:a16="http://schemas.microsoft.com/office/drawing/2014/main" id="{C35C9C7A-FE84-4325-A0C2-DB3023311380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81" name="Line 59809">
          <a:extLst>
            <a:ext uri="{FF2B5EF4-FFF2-40B4-BE49-F238E27FC236}">
              <a16:creationId xmlns="" xmlns:a16="http://schemas.microsoft.com/office/drawing/2014/main" id="{5182C788-943A-44A4-B9E0-ED97763CD647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82" name="Line 59810">
          <a:extLst>
            <a:ext uri="{FF2B5EF4-FFF2-40B4-BE49-F238E27FC236}">
              <a16:creationId xmlns="" xmlns:a16="http://schemas.microsoft.com/office/drawing/2014/main" id="{9838D399-56E3-4089-80C5-C1B8CAC52DB0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87" name="Line 59811">
          <a:extLst>
            <a:ext uri="{FF2B5EF4-FFF2-40B4-BE49-F238E27FC236}">
              <a16:creationId xmlns="" xmlns:a16="http://schemas.microsoft.com/office/drawing/2014/main" id="{94173910-9081-492C-AAE1-36007888BC42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88" name="Line 59812">
          <a:extLst>
            <a:ext uri="{FF2B5EF4-FFF2-40B4-BE49-F238E27FC236}">
              <a16:creationId xmlns="" xmlns:a16="http://schemas.microsoft.com/office/drawing/2014/main" id="{99ACE6AC-58A4-469E-9742-507FE72EE288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89" name="Line 59813">
          <a:extLst>
            <a:ext uri="{FF2B5EF4-FFF2-40B4-BE49-F238E27FC236}">
              <a16:creationId xmlns="" xmlns:a16="http://schemas.microsoft.com/office/drawing/2014/main" id="{B74F032C-769B-4159-B072-442560135B4E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90" name="Line 59814">
          <a:extLst>
            <a:ext uri="{FF2B5EF4-FFF2-40B4-BE49-F238E27FC236}">
              <a16:creationId xmlns="" xmlns:a16="http://schemas.microsoft.com/office/drawing/2014/main" id="{9D6D0C78-ED75-436F-B03B-B69011BCD21B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95" name="Line 59815">
          <a:extLst>
            <a:ext uri="{FF2B5EF4-FFF2-40B4-BE49-F238E27FC236}">
              <a16:creationId xmlns="" xmlns:a16="http://schemas.microsoft.com/office/drawing/2014/main" id="{A4DB5BAC-7DF9-463F-A876-C75F0A421CC9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96" name="Line 59816">
          <a:extLst>
            <a:ext uri="{FF2B5EF4-FFF2-40B4-BE49-F238E27FC236}">
              <a16:creationId xmlns="" xmlns:a16="http://schemas.microsoft.com/office/drawing/2014/main" id="{A710DF02-F2C6-4A23-89E5-349C11508ACB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497" name="Line 59817">
          <a:extLst>
            <a:ext uri="{FF2B5EF4-FFF2-40B4-BE49-F238E27FC236}">
              <a16:creationId xmlns="" xmlns:a16="http://schemas.microsoft.com/office/drawing/2014/main" id="{EC953DDF-2DFD-46D7-A4D2-5741FD045C60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498" name="Line 59818">
          <a:extLst>
            <a:ext uri="{FF2B5EF4-FFF2-40B4-BE49-F238E27FC236}">
              <a16:creationId xmlns="" xmlns:a16="http://schemas.microsoft.com/office/drawing/2014/main" id="{979726BF-972F-4B03-A90D-72F7C38C0B8A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503" name="Line 59819">
          <a:extLst>
            <a:ext uri="{FF2B5EF4-FFF2-40B4-BE49-F238E27FC236}">
              <a16:creationId xmlns="" xmlns:a16="http://schemas.microsoft.com/office/drawing/2014/main" id="{0FA07EDE-E3D3-455E-96D1-4AD8E48361DE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504" name="Line 59820">
          <a:extLst>
            <a:ext uri="{FF2B5EF4-FFF2-40B4-BE49-F238E27FC236}">
              <a16:creationId xmlns="" xmlns:a16="http://schemas.microsoft.com/office/drawing/2014/main" id="{561A90F7-38CE-4648-8968-CA1F7104E860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4505" name="Line 59821">
          <a:extLst>
            <a:ext uri="{FF2B5EF4-FFF2-40B4-BE49-F238E27FC236}">
              <a16:creationId xmlns="" xmlns:a16="http://schemas.microsoft.com/office/drawing/2014/main" id="{A76616CF-C27E-444C-BA80-3DB800F5569C}"/>
            </a:ext>
          </a:extLst>
        </xdr:cNvPr>
        <xdr:cNvSpPr>
          <a:spLocks noChangeShapeType="1"/>
        </xdr:cNvSpPr>
      </xdr:nvSpPr>
      <xdr:spPr bwMode="auto">
        <a:xfrm>
          <a:off x="317500" y="1988185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19050</xdr:rowOff>
    </xdr:from>
    <xdr:to>
      <xdr:col>5</xdr:col>
      <xdr:colOff>0</xdr:colOff>
      <xdr:row>57</xdr:row>
      <xdr:rowOff>215900</xdr:rowOff>
    </xdr:to>
    <xdr:sp macro="" textlink="">
      <xdr:nvSpPr>
        <xdr:cNvPr id="124506" name="Line 59822">
          <a:extLst>
            <a:ext uri="{FF2B5EF4-FFF2-40B4-BE49-F238E27FC236}">
              <a16:creationId xmlns="" xmlns:a16="http://schemas.microsoft.com/office/drawing/2014/main" id="{92D9922C-9386-4432-9F26-0F616AB6531B}"/>
            </a:ext>
          </a:extLst>
        </xdr:cNvPr>
        <xdr:cNvSpPr>
          <a:spLocks noChangeShapeType="1"/>
        </xdr:cNvSpPr>
      </xdr:nvSpPr>
      <xdr:spPr bwMode="auto">
        <a:xfrm>
          <a:off x="920750" y="19900900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38100</xdr:rowOff>
    </xdr:from>
    <xdr:to>
      <xdr:col>5</xdr:col>
      <xdr:colOff>0</xdr:colOff>
      <xdr:row>70</xdr:row>
      <xdr:rowOff>393700</xdr:rowOff>
    </xdr:to>
    <xdr:sp macro="" textlink="">
      <xdr:nvSpPr>
        <xdr:cNvPr id="124512" name="Line 59407">
          <a:extLst>
            <a:ext uri="{FF2B5EF4-FFF2-40B4-BE49-F238E27FC236}">
              <a16:creationId xmlns="" xmlns:a16="http://schemas.microsoft.com/office/drawing/2014/main" id="{90545D70-3175-4819-9777-BF27D36AF4B8}"/>
            </a:ext>
          </a:extLst>
        </xdr:cNvPr>
        <xdr:cNvSpPr>
          <a:spLocks noChangeShapeType="1"/>
        </xdr:cNvSpPr>
      </xdr:nvSpPr>
      <xdr:spPr bwMode="auto">
        <a:xfrm>
          <a:off x="920750" y="205105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38100</xdr:rowOff>
    </xdr:from>
    <xdr:to>
      <xdr:col>5</xdr:col>
      <xdr:colOff>0</xdr:colOff>
      <xdr:row>70</xdr:row>
      <xdr:rowOff>393700</xdr:rowOff>
    </xdr:to>
    <xdr:sp macro="" textlink="">
      <xdr:nvSpPr>
        <xdr:cNvPr id="124514" name="Line 59427">
          <a:extLst>
            <a:ext uri="{FF2B5EF4-FFF2-40B4-BE49-F238E27FC236}">
              <a16:creationId xmlns="" xmlns:a16="http://schemas.microsoft.com/office/drawing/2014/main" id="{769CD869-9F56-44E0-B8EF-308E45F61813}"/>
            </a:ext>
          </a:extLst>
        </xdr:cNvPr>
        <xdr:cNvSpPr>
          <a:spLocks noChangeShapeType="1"/>
        </xdr:cNvSpPr>
      </xdr:nvSpPr>
      <xdr:spPr bwMode="auto">
        <a:xfrm>
          <a:off x="920750" y="205105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38100</xdr:rowOff>
    </xdr:from>
    <xdr:to>
      <xdr:col>5</xdr:col>
      <xdr:colOff>0</xdr:colOff>
      <xdr:row>70</xdr:row>
      <xdr:rowOff>393700</xdr:rowOff>
    </xdr:to>
    <xdr:sp macro="" textlink="">
      <xdr:nvSpPr>
        <xdr:cNvPr id="124526" name="Line 59447">
          <a:extLst>
            <a:ext uri="{FF2B5EF4-FFF2-40B4-BE49-F238E27FC236}">
              <a16:creationId xmlns="" xmlns:a16="http://schemas.microsoft.com/office/drawing/2014/main" id="{EA92D3E1-A7BE-4170-8D0C-4FA3C01FCC43}"/>
            </a:ext>
          </a:extLst>
        </xdr:cNvPr>
        <xdr:cNvSpPr>
          <a:spLocks noChangeShapeType="1"/>
        </xdr:cNvSpPr>
      </xdr:nvSpPr>
      <xdr:spPr bwMode="auto">
        <a:xfrm>
          <a:off x="920750" y="205105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38100</xdr:rowOff>
    </xdr:from>
    <xdr:to>
      <xdr:col>5</xdr:col>
      <xdr:colOff>0</xdr:colOff>
      <xdr:row>70</xdr:row>
      <xdr:rowOff>393700</xdr:rowOff>
    </xdr:to>
    <xdr:sp macro="" textlink="">
      <xdr:nvSpPr>
        <xdr:cNvPr id="124528" name="Line 59467">
          <a:extLst>
            <a:ext uri="{FF2B5EF4-FFF2-40B4-BE49-F238E27FC236}">
              <a16:creationId xmlns="" xmlns:a16="http://schemas.microsoft.com/office/drawing/2014/main" id="{0C420C8B-5789-44BA-AF77-0BFD04415EF6}"/>
            </a:ext>
          </a:extLst>
        </xdr:cNvPr>
        <xdr:cNvSpPr>
          <a:spLocks noChangeShapeType="1"/>
        </xdr:cNvSpPr>
      </xdr:nvSpPr>
      <xdr:spPr bwMode="auto">
        <a:xfrm>
          <a:off x="920750" y="205105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38100</xdr:rowOff>
    </xdr:from>
    <xdr:to>
      <xdr:col>5</xdr:col>
      <xdr:colOff>0</xdr:colOff>
      <xdr:row>70</xdr:row>
      <xdr:rowOff>393700</xdr:rowOff>
    </xdr:to>
    <xdr:sp macro="" textlink="">
      <xdr:nvSpPr>
        <xdr:cNvPr id="124530" name="Line 59487">
          <a:extLst>
            <a:ext uri="{FF2B5EF4-FFF2-40B4-BE49-F238E27FC236}">
              <a16:creationId xmlns="" xmlns:a16="http://schemas.microsoft.com/office/drawing/2014/main" id="{9EEFFE4C-228B-4E37-8350-D5F567FDF685}"/>
            </a:ext>
          </a:extLst>
        </xdr:cNvPr>
        <xdr:cNvSpPr>
          <a:spLocks noChangeShapeType="1"/>
        </xdr:cNvSpPr>
      </xdr:nvSpPr>
      <xdr:spPr bwMode="auto">
        <a:xfrm>
          <a:off x="920750" y="205105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38100</xdr:rowOff>
    </xdr:from>
    <xdr:to>
      <xdr:col>5</xdr:col>
      <xdr:colOff>0</xdr:colOff>
      <xdr:row>70</xdr:row>
      <xdr:rowOff>393700</xdr:rowOff>
    </xdr:to>
    <xdr:sp macro="" textlink="">
      <xdr:nvSpPr>
        <xdr:cNvPr id="124532" name="Line 59509">
          <a:extLst>
            <a:ext uri="{FF2B5EF4-FFF2-40B4-BE49-F238E27FC236}">
              <a16:creationId xmlns="" xmlns:a16="http://schemas.microsoft.com/office/drawing/2014/main" id="{44173D3D-FC5B-49C3-B47D-BC7377837A81}"/>
            </a:ext>
          </a:extLst>
        </xdr:cNvPr>
        <xdr:cNvSpPr>
          <a:spLocks noChangeShapeType="1"/>
        </xdr:cNvSpPr>
      </xdr:nvSpPr>
      <xdr:spPr bwMode="auto">
        <a:xfrm>
          <a:off x="920750" y="205105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38100</xdr:rowOff>
    </xdr:from>
    <xdr:to>
      <xdr:col>5</xdr:col>
      <xdr:colOff>0</xdr:colOff>
      <xdr:row>70</xdr:row>
      <xdr:rowOff>393700</xdr:rowOff>
    </xdr:to>
    <xdr:sp macro="" textlink="">
      <xdr:nvSpPr>
        <xdr:cNvPr id="124534" name="Line 59511">
          <a:extLst>
            <a:ext uri="{FF2B5EF4-FFF2-40B4-BE49-F238E27FC236}">
              <a16:creationId xmlns="" xmlns:a16="http://schemas.microsoft.com/office/drawing/2014/main" id="{210950DC-02AD-4E7D-A376-D3DAFE679E99}"/>
            </a:ext>
          </a:extLst>
        </xdr:cNvPr>
        <xdr:cNvSpPr>
          <a:spLocks noChangeShapeType="1"/>
        </xdr:cNvSpPr>
      </xdr:nvSpPr>
      <xdr:spPr bwMode="auto">
        <a:xfrm>
          <a:off x="920750" y="205105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38100</xdr:rowOff>
    </xdr:from>
    <xdr:to>
      <xdr:col>5</xdr:col>
      <xdr:colOff>0</xdr:colOff>
      <xdr:row>70</xdr:row>
      <xdr:rowOff>393700</xdr:rowOff>
    </xdr:to>
    <xdr:sp macro="" textlink="">
      <xdr:nvSpPr>
        <xdr:cNvPr id="124536" name="Line 59513">
          <a:extLst>
            <a:ext uri="{FF2B5EF4-FFF2-40B4-BE49-F238E27FC236}">
              <a16:creationId xmlns="" xmlns:a16="http://schemas.microsoft.com/office/drawing/2014/main" id="{E68EAA46-37A1-47AB-85FD-A0A178BC3B71}"/>
            </a:ext>
          </a:extLst>
        </xdr:cNvPr>
        <xdr:cNvSpPr>
          <a:spLocks noChangeShapeType="1"/>
        </xdr:cNvSpPr>
      </xdr:nvSpPr>
      <xdr:spPr bwMode="auto">
        <a:xfrm>
          <a:off x="920750" y="205105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49" name="Line 59406">
          <a:extLst>
            <a:ext uri="{FF2B5EF4-FFF2-40B4-BE49-F238E27FC236}">
              <a16:creationId xmlns="" xmlns:a16="http://schemas.microsoft.com/office/drawing/2014/main" id="{FCD3211C-0B0F-4C13-B7E0-148648395471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38100</xdr:rowOff>
    </xdr:from>
    <xdr:to>
      <xdr:col>5</xdr:col>
      <xdr:colOff>0</xdr:colOff>
      <xdr:row>72</xdr:row>
      <xdr:rowOff>393700</xdr:rowOff>
    </xdr:to>
    <xdr:sp macro="" textlink="">
      <xdr:nvSpPr>
        <xdr:cNvPr id="124550" name="Line 59407">
          <a:extLst>
            <a:ext uri="{FF2B5EF4-FFF2-40B4-BE49-F238E27FC236}">
              <a16:creationId xmlns="" xmlns:a16="http://schemas.microsoft.com/office/drawing/2014/main" id="{6C50B633-B6C1-4EBA-BA3B-7355A34C9BFB}"/>
            </a:ext>
          </a:extLst>
        </xdr:cNvPr>
        <xdr:cNvSpPr>
          <a:spLocks noChangeShapeType="1"/>
        </xdr:cNvSpPr>
      </xdr:nvSpPr>
      <xdr:spPr bwMode="auto">
        <a:xfrm>
          <a:off x="912813" y="179451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51" name="Line 59426">
          <a:extLst>
            <a:ext uri="{FF2B5EF4-FFF2-40B4-BE49-F238E27FC236}">
              <a16:creationId xmlns="" xmlns:a16="http://schemas.microsoft.com/office/drawing/2014/main" id="{DCC68C7A-3B22-46D5-AF17-2C41CE2576D5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38100</xdr:rowOff>
    </xdr:from>
    <xdr:to>
      <xdr:col>5</xdr:col>
      <xdr:colOff>0</xdr:colOff>
      <xdr:row>72</xdr:row>
      <xdr:rowOff>393700</xdr:rowOff>
    </xdr:to>
    <xdr:sp macro="" textlink="">
      <xdr:nvSpPr>
        <xdr:cNvPr id="124552" name="Line 59427">
          <a:extLst>
            <a:ext uri="{FF2B5EF4-FFF2-40B4-BE49-F238E27FC236}">
              <a16:creationId xmlns="" xmlns:a16="http://schemas.microsoft.com/office/drawing/2014/main" id="{AB030757-A6F8-450E-8B50-7A4F353FCF5C}"/>
            </a:ext>
          </a:extLst>
        </xdr:cNvPr>
        <xdr:cNvSpPr>
          <a:spLocks noChangeShapeType="1"/>
        </xdr:cNvSpPr>
      </xdr:nvSpPr>
      <xdr:spPr bwMode="auto">
        <a:xfrm>
          <a:off x="912813" y="179451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53" name="Line 59446">
          <a:extLst>
            <a:ext uri="{FF2B5EF4-FFF2-40B4-BE49-F238E27FC236}">
              <a16:creationId xmlns="" xmlns:a16="http://schemas.microsoft.com/office/drawing/2014/main" id="{BEB2914A-F515-4E92-85EB-A545D433DDCB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38100</xdr:rowOff>
    </xdr:from>
    <xdr:to>
      <xdr:col>5</xdr:col>
      <xdr:colOff>0</xdr:colOff>
      <xdr:row>72</xdr:row>
      <xdr:rowOff>393700</xdr:rowOff>
    </xdr:to>
    <xdr:sp macro="" textlink="">
      <xdr:nvSpPr>
        <xdr:cNvPr id="124554" name="Line 59447">
          <a:extLst>
            <a:ext uri="{FF2B5EF4-FFF2-40B4-BE49-F238E27FC236}">
              <a16:creationId xmlns="" xmlns:a16="http://schemas.microsoft.com/office/drawing/2014/main" id="{B4F02E05-FA94-4F85-8813-E786576F6E20}"/>
            </a:ext>
          </a:extLst>
        </xdr:cNvPr>
        <xdr:cNvSpPr>
          <a:spLocks noChangeShapeType="1"/>
        </xdr:cNvSpPr>
      </xdr:nvSpPr>
      <xdr:spPr bwMode="auto">
        <a:xfrm>
          <a:off x="912813" y="179451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55" name="Line 59466">
          <a:extLst>
            <a:ext uri="{FF2B5EF4-FFF2-40B4-BE49-F238E27FC236}">
              <a16:creationId xmlns="" xmlns:a16="http://schemas.microsoft.com/office/drawing/2014/main" id="{3AC02DC3-4D17-4902-9A9F-71F5FA697D3C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38100</xdr:rowOff>
    </xdr:from>
    <xdr:to>
      <xdr:col>5</xdr:col>
      <xdr:colOff>0</xdr:colOff>
      <xdr:row>72</xdr:row>
      <xdr:rowOff>393700</xdr:rowOff>
    </xdr:to>
    <xdr:sp macro="" textlink="">
      <xdr:nvSpPr>
        <xdr:cNvPr id="124556" name="Line 59467">
          <a:extLst>
            <a:ext uri="{FF2B5EF4-FFF2-40B4-BE49-F238E27FC236}">
              <a16:creationId xmlns="" xmlns:a16="http://schemas.microsoft.com/office/drawing/2014/main" id="{0762C696-F59E-4309-8D24-EB0C361CBBC6}"/>
            </a:ext>
          </a:extLst>
        </xdr:cNvPr>
        <xdr:cNvSpPr>
          <a:spLocks noChangeShapeType="1"/>
        </xdr:cNvSpPr>
      </xdr:nvSpPr>
      <xdr:spPr bwMode="auto">
        <a:xfrm>
          <a:off x="912813" y="179451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57" name="Line 59486">
          <a:extLst>
            <a:ext uri="{FF2B5EF4-FFF2-40B4-BE49-F238E27FC236}">
              <a16:creationId xmlns="" xmlns:a16="http://schemas.microsoft.com/office/drawing/2014/main" id="{9A653A3C-4216-4242-A8F0-9F0EF5C46981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38100</xdr:rowOff>
    </xdr:from>
    <xdr:to>
      <xdr:col>5</xdr:col>
      <xdr:colOff>0</xdr:colOff>
      <xdr:row>72</xdr:row>
      <xdr:rowOff>393700</xdr:rowOff>
    </xdr:to>
    <xdr:sp macro="" textlink="">
      <xdr:nvSpPr>
        <xdr:cNvPr id="124558" name="Line 59487">
          <a:extLst>
            <a:ext uri="{FF2B5EF4-FFF2-40B4-BE49-F238E27FC236}">
              <a16:creationId xmlns="" xmlns:a16="http://schemas.microsoft.com/office/drawing/2014/main" id="{02B90174-696F-4BE6-8385-805A1C90C01C}"/>
            </a:ext>
          </a:extLst>
        </xdr:cNvPr>
        <xdr:cNvSpPr>
          <a:spLocks noChangeShapeType="1"/>
        </xdr:cNvSpPr>
      </xdr:nvSpPr>
      <xdr:spPr bwMode="auto">
        <a:xfrm>
          <a:off x="912813" y="179451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59" name="Line 59508">
          <a:extLst>
            <a:ext uri="{FF2B5EF4-FFF2-40B4-BE49-F238E27FC236}">
              <a16:creationId xmlns="" xmlns:a16="http://schemas.microsoft.com/office/drawing/2014/main" id="{1193D1C8-8D33-4373-AF6A-E1CB80A749F6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38100</xdr:rowOff>
    </xdr:from>
    <xdr:to>
      <xdr:col>5</xdr:col>
      <xdr:colOff>0</xdr:colOff>
      <xdr:row>72</xdr:row>
      <xdr:rowOff>393700</xdr:rowOff>
    </xdr:to>
    <xdr:sp macro="" textlink="">
      <xdr:nvSpPr>
        <xdr:cNvPr id="124560" name="Line 59509">
          <a:extLst>
            <a:ext uri="{FF2B5EF4-FFF2-40B4-BE49-F238E27FC236}">
              <a16:creationId xmlns="" xmlns:a16="http://schemas.microsoft.com/office/drawing/2014/main" id="{4D3BCE80-08E6-49F6-ACB8-7362A62D9942}"/>
            </a:ext>
          </a:extLst>
        </xdr:cNvPr>
        <xdr:cNvSpPr>
          <a:spLocks noChangeShapeType="1"/>
        </xdr:cNvSpPr>
      </xdr:nvSpPr>
      <xdr:spPr bwMode="auto">
        <a:xfrm>
          <a:off x="912813" y="179451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61" name="Line 59510">
          <a:extLst>
            <a:ext uri="{FF2B5EF4-FFF2-40B4-BE49-F238E27FC236}">
              <a16:creationId xmlns="" xmlns:a16="http://schemas.microsoft.com/office/drawing/2014/main" id="{02C7ADD3-9FF9-4CEB-814F-2F8AE92EAFA6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38100</xdr:rowOff>
    </xdr:from>
    <xdr:to>
      <xdr:col>5</xdr:col>
      <xdr:colOff>0</xdr:colOff>
      <xdr:row>72</xdr:row>
      <xdr:rowOff>393700</xdr:rowOff>
    </xdr:to>
    <xdr:sp macro="" textlink="">
      <xdr:nvSpPr>
        <xdr:cNvPr id="124562" name="Line 59511">
          <a:extLst>
            <a:ext uri="{FF2B5EF4-FFF2-40B4-BE49-F238E27FC236}">
              <a16:creationId xmlns="" xmlns:a16="http://schemas.microsoft.com/office/drawing/2014/main" id="{724F35EA-B174-4C80-88B9-306567FCE2F0}"/>
            </a:ext>
          </a:extLst>
        </xdr:cNvPr>
        <xdr:cNvSpPr>
          <a:spLocks noChangeShapeType="1"/>
        </xdr:cNvSpPr>
      </xdr:nvSpPr>
      <xdr:spPr bwMode="auto">
        <a:xfrm>
          <a:off x="912813" y="179451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63" name="Line 59512">
          <a:extLst>
            <a:ext uri="{FF2B5EF4-FFF2-40B4-BE49-F238E27FC236}">
              <a16:creationId xmlns="" xmlns:a16="http://schemas.microsoft.com/office/drawing/2014/main" id="{3D2CAD9A-6B68-44A2-AEC4-CA0782F085F6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38100</xdr:rowOff>
    </xdr:from>
    <xdr:to>
      <xdr:col>5</xdr:col>
      <xdr:colOff>0</xdr:colOff>
      <xdr:row>72</xdr:row>
      <xdr:rowOff>393700</xdr:rowOff>
    </xdr:to>
    <xdr:sp macro="" textlink="">
      <xdr:nvSpPr>
        <xdr:cNvPr id="124564" name="Line 59513">
          <a:extLst>
            <a:ext uri="{FF2B5EF4-FFF2-40B4-BE49-F238E27FC236}">
              <a16:creationId xmlns="" xmlns:a16="http://schemas.microsoft.com/office/drawing/2014/main" id="{F5127A98-233A-49A7-ADAE-2D10A123DE0E}"/>
            </a:ext>
          </a:extLst>
        </xdr:cNvPr>
        <xdr:cNvSpPr>
          <a:spLocks noChangeShapeType="1"/>
        </xdr:cNvSpPr>
      </xdr:nvSpPr>
      <xdr:spPr bwMode="auto">
        <a:xfrm>
          <a:off x="912813" y="179451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65" name="Line 59402">
          <a:extLst>
            <a:ext uri="{FF2B5EF4-FFF2-40B4-BE49-F238E27FC236}">
              <a16:creationId xmlns="" xmlns:a16="http://schemas.microsoft.com/office/drawing/2014/main" id="{4D31766F-294C-4858-8A5C-447D8BA3E531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19050</xdr:rowOff>
    </xdr:from>
    <xdr:to>
      <xdr:col>5</xdr:col>
      <xdr:colOff>0</xdr:colOff>
      <xdr:row>72</xdr:row>
      <xdr:rowOff>266700</xdr:rowOff>
    </xdr:to>
    <xdr:sp macro="" textlink="">
      <xdr:nvSpPr>
        <xdr:cNvPr id="124566" name="Line 59403">
          <a:extLst>
            <a:ext uri="{FF2B5EF4-FFF2-40B4-BE49-F238E27FC236}">
              <a16:creationId xmlns="" xmlns:a16="http://schemas.microsoft.com/office/drawing/2014/main" id="{29FFFBCA-A1BA-442F-BFFB-5E411096ED65}"/>
            </a:ext>
          </a:extLst>
        </xdr:cNvPr>
        <xdr:cNvSpPr>
          <a:spLocks noChangeShapeType="1"/>
        </xdr:cNvSpPr>
      </xdr:nvSpPr>
      <xdr:spPr bwMode="auto">
        <a:xfrm>
          <a:off x="912813" y="179260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67" name="Line 59422">
          <a:extLst>
            <a:ext uri="{FF2B5EF4-FFF2-40B4-BE49-F238E27FC236}">
              <a16:creationId xmlns="" xmlns:a16="http://schemas.microsoft.com/office/drawing/2014/main" id="{8F9A762F-616C-4CF8-B546-E956DAF06F86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19050</xdr:rowOff>
    </xdr:from>
    <xdr:to>
      <xdr:col>5</xdr:col>
      <xdr:colOff>0</xdr:colOff>
      <xdr:row>72</xdr:row>
      <xdr:rowOff>266700</xdr:rowOff>
    </xdr:to>
    <xdr:sp macro="" textlink="">
      <xdr:nvSpPr>
        <xdr:cNvPr id="124568" name="Line 59423">
          <a:extLst>
            <a:ext uri="{FF2B5EF4-FFF2-40B4-BE49-F238E27FC236}">
              <a16:creationId xmlns="" xmlns:a16="http://schemas.microsoft.com/office/drawing/2014/main" id="{C47AD1C2-3DA5-436A-BD64-2FBA6C4B49C3}"/>
            </a:ext>
          </a:extLst>
        </xdr:cNvPr>
        <xdr:cNvSpPr>
          <a:spLocks noChangeShapeType="1"/>
        </xdr:cNvSpPr>
      </xdr:nvSpPr>
      <xdr:spPr bwMode="auto">
        <a:xfrm>
          <a:off x="912813" y="179260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69" name="Line 59442">
          <a:extLst>
            <a:ext uri="{FF2B5EF4-FFF2-40B4-BE49-F238E27FC236}">
              <a16:creationId xmlns="" xmlns:a16="http://schemas.microsoft.com/office/drawing/2014/main" id="{9D6A129C-5FA2-4D78-BDF1-34D4DF80BA9D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19050</xdr:rowOff>
    </xdr:from>
    <xdr:to>
      <xdr:col>5</xdr:col>
      <xdr:colOff>0</xdr:colOff>
      <xdr:row>72</xdr:row>
      <xdr:rowOff>266700</xdr:rowOff>
    </xdr:to>
    <xdr:sp macro="" textlink="">
      <xdr:nvSpPr>
        <xdr:cNvPr id="124570" name="Line 59443">
          <a:extLst>
            <a:ext uri="{FF2B5EF4-FFF2-40B4-BE49-F238E27FC236}">
              <a16:creationId xmlns="" xmlns:a16="http://schemas.microsoft.com/office/drawing/2014/main" id="{FE5EEB90-9349-4655-A049-5838FD7B48B5}"/>
            </a:ext>
          </a:extLst>
        </xdr:cNvPr>
        <xdr:cNvSpPr>
          <a:spLocks noChangeShapeType="1"/>
        </xdr:cNvSpPr>
      </xdr:nvSpPr>
      <xdr:spPr bwMode="auto">
        <a:xfrm>
          <a:off x="912813" y="179260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71" name="Line 59462">
          <a:extLst>
            <a:ext uri="{FF2B5EF4-FFF2-40B4-BE49-F238E27FC236}">
              <a16:creationId xmlns="" xmlns:a16="http://schemas.microsoft.com/office/drawing/2014/main" id="{43B282B4-748F-4819-A10A-F9ADFCC10477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19050</xdr:rowOff>
    </xdr:from>
    <xdr:to>
      <xdr:col>5</xdr:col>
      <xdr:colOff>0</xdr:colOff>
      <xdr:row>72</xdr:row>
      <xdr:rowOff>266700</xdr:rowOff>
    </xdr:to>
    <xdr:sp macro="" textlink="">
      <xdr:nvSpPr>
        <xdr:cNvPr id="124572" name="Line 59463">
          <a:extLst>
            <a:ext uri="{FF2B5EF4-FFF2-40B4-BE49-F238E27FC236}">
              <a16:creationId xmlns="" xmlns:a16="http://schemas.microsoft.com/office/drawing/2014/main" id="{DF05DDEF-424C-4B19-B123-67AD47E8CC59}"/>
            </a:ext>
          </a:extLst>
        </xdr:cNvPr>
        <xdr:cNvSpPr>
          <a:spLocks noChangeShapeType="1"/>
        </xdr:cNvSpPr>
      </xdr:nvSpPr>
      <xdr:spPr bwMode="auto">
        <a:xfrm>
          <a:off x="912813" y="179260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73" name="Line 59482">
          <a:extLst>
            <a:ext uri="{FF2B5EF4-FFF2-40B4-BE49-F238E27FC236}">
              <a16:creationId xmlns="" xmlns:a16="http://schemas.microsoft.com/office/drawing/2014/main" id="{AB7176D0-B1C9-45DA-8E1B-670CCD11AE21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19050</xdr:rowOff>
    </xdr:from>
    <xdr:to>
      <xdr:col>5</xdr:col>
      <xdr:colOff>0</xdr:colOff>
      <xdr:row>72</xdr:row>
      <xdr:rowOff>266700</xdr:rowOff>
    </xdr:to>
    <xdr:sp macro="" textlink="">
      <xdr:nvSpPr>
        <xdr:cNvPr id="124574" name="Line 59483">
          <a:extLst>
            <a:ext uri="{FF2B5EF4-FFF2-40B4-BE49-F238E27FC236}">
              <a16:creationId xmlns="" xmlns:a16="http://schemas.microsoft.com/office/drawing/2014/main" id="{D3C7E347-8488-4017-BE93-1DDC677AA096}"/>
            </a:ext>
          </a:extLst>
        </xdr:cNvPr>
        <xdr:cNvSpPr>
          <a:spLocks noChangeShapeType="1"/>
        </xdr:cNvSpPr>
      </xdr:nvSpPr>
      <xdr:spPr bwMode="auto">
        <a:xfrm>
          <a:off x="912813" y="179260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72</xdr:row>
      <xdr:rowOff>0</xdr:rowOff>
    </xdr:from>
    <xdr:to>
      <xdr:col>11</xdr:col>
      <xdr:colOff>25400</xdr:colOff>
      <xdr:row>72</xdr:row>
      <xdr:rowOff>0</xdr:rowOff>
    </xdr:to>
    <xdr:sp macro="" textlink="">
      <xdr:nvSpPr>
        <xdr:cNvPr id="124575" name="Line 59502">
          <a:extLst>
            <a:ext uri="{FF2B5EF4-FFF2-40B4-BE49-F238E27FC236}">
              <a16:creationId xmlns="" xmlns:a16="http://schemas.microsoft.com/office/drawing/2014/main" id="{39748584-958D-464B-8A5B-2AAEB4223AAF}"/>
            </a:ext>
          </a:extLst>
        </xdr:cNvPr>
        <xdr:cNvSpPr>
          <a:spLocks noChangeShapeType="1"/>
        </xdr:cNvSpPr>
      </xdr:nvSpPr>
      <xdr:spPr bwMode="auto">
        <a:xfrm>
          <a:off x="315913" y="179070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19050</xdr:rowOff>
    </xdr:from>
    <xdr:to>
      <xdr:col>5</xdr:col>
      <xdr:colOff>0</xdr:colOff>
      <xdr:row>72</xdr:row>
      <xdr:rowOff>266700</xdr:rowOff>
    </xdr:to>
    <xdr:sp macro="" textlink="">
      <xdr:nvSpPr>
        <xdr:cNvPr id="124576" name="Line 59503">
          <a:extLst>
            <a:ext uri="{FF2B5EF4-FFF2-40B4-BE49-F238E27FC236}">
              <a16:creationId xmlns="" xmlns:a16="http://schemas.microsoft.com/office/drawing/2014/main" id="{ABB4F8ED-D999-4C41-88DA-6869E502C76E}"/>
            </a:ext>
          </a:extLst>
        </xdr:cNvPr>
        <xdr:cNvSpPr>
          <a:spLocks noChangeShapeType="1"/>
        </xdr:cNvSpPr>
      </xdr:nvSpPr>
      <xdr:spPr bwMode="auto">
        <a:xfrm>
          <a:off x="912813" y="179260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577" name="Line 59406">
          <a:extLst>
            <a:ext uri="{FF2B5EF4-FFF2-40B4-BE49-F238E27FC236}">
              <a16:creationId xmlns="" xmlns:a16="http://schemas.microsoft.com/office/drawing/2014/main" id="{405C4C35-3C17-46E7-A8E2-0C3E91DFF73D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38100</xdr:rowOff>
    </xdr:from>
    <xdr:to>
      <xdr:col>5</xdr:col>
      <xdr:colOff>0</xdr:colOff>
      <xdr:row>74</xdr:row>
      <xdr:rowOff>393700</xdr:rowOff>
    </xdr:to>
    <xdr:sp macro="" textlink="">
      <xdr:nvSpPr>
        <xdr:cNvPr id="124578" name="Line 59407">
          <a:extLst>
            <a:ext uri="{FF2B5EF4-FFF2-40B4-BE49-F238E27FC236}">
              <a16:creationId xmlns="" xmlns:a16="http://schemas.microsoft.com/office/drawing/2014/main" id="{4665CB7F-CBB0-40EC-859C-E49F96127DC7}"/>
            </a:ext>
          </a:extLst>
        </xdr:cNvPr>
        <xdr:cNvSpPr>
          <a:spLocks noChangeShapeType="1"/>
        </xdr:cNvSpPr>
      </xdr:nvSpPr>
      <xdr:spPr bwMode="auto">
        <a:xfrm>
          <a:off x="912813" y="1854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00" name="Line 59426">
          <a:extLst>
            <a:ext uri="{FF2B5EF4-FFF2-40B4-BE49-F238E27FC236}">
              <a16:creationId xmlns="" xmlns:a16="http://schemas.microsoft.com/office/drawing/2014/main" id="{3DED17C5-CEFD-4EB0-B3D5-5F2EF837A85F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38100</xdr:rowOff>
    </xdr:from>
    <xdr:to>
      <xdr:col>5</xdr:col>
      <xdr:colOff>0</xdr:colOff>
      <xdr:row>74</xdr:row>
      <xdr:rowOff>393700</xdr:rowOff>
    </xdr:to>
    <xdr:sp macro="" textlink="">
      <xdr:nvSpPr>
        <xdr:cNvPr id="124601" name="Line 59427">
          <a:extLst>
            <a:ext uri="{FF2B5EF4-FFF2-40B4-BE49-F238E27FC236}">
              <a16:creationId xmlns="" xmlns:a16="http://schemas.microsoft.com/office/drawing/2014/main" id="{62F926C9-3214-4567-BA47-9FFA500C6E28}"/>
            </a:ext>
          </a:extLst>
        </xdr:cNvPr>
        <xdr:cNvSpPr>
          <a:spLocks noChangeShapeType="1"/>
        </xdr:cNvSpPr>
      </xdr:nvSpPr>
      <xdr:spPr bwMode="auto">
        <a:xfrm>
          <a:off x="912813" y="1854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02" name="Line 59446">
          <a:extLst>
            <a:ext uri="{FF2B5EF4-FFF2-40B4-BE49-F238E27FC236}">
              <a16:creationId xmlns="" xmlns:a16="http://schemas.microsoft.com/office/drawing/2014/main" id="{97946A70-09BE-470E-8EBE-2AC595C05BEA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38100</xdr:rowOff>
    </xdr:from>
    <xdr:to>
      <xdr:col>5</xdr:col>
      <xdr:colOff>0</xdr:colOff>
      <xdr:row>74</xdr:row>
      <xdr:rowOff>393700</xdr:rowOff>
    </xdr:to>
    <xdr:sp macro="" textlink="">
      <xdr:nvSpPr>
        <xdr:cNvPr id="124603" name="Line 59447">
          <a:extLst>
            <a:ext uri="{FF2B5EF4-FFF2-40B4-BE49-F238E27FC236}">
              <a16:creationId xmlns="" xmlns:a16="http://schemas.microsoft.com/office/drawing/2014/main" id="{7C23E205-C4A4-4D73-844D-5760EB6D1CB9}"/>
            </a:ext>
          </a:extLst>
        </xdr:cNvPr>
        <xdr:cNvSpPr>
          <a:spLocks noChangeShapeType="1"/>
        </xdr:cNvSpPr>
      </xdr:nvSpPr>
      <xdr:spPr bwMode="auto">
        <a:xfrm>
          <a:off x="912813" y="1854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04" name="Line 59466">
          <a:extLst>
            <a:ext uri="{FF2B5EF4-FFF2-40B4-BE49-F238E27FC236}">
              <a16:creationId xmlns="" xmlns:a16="http://schemas.microsoft.com/office/drawing/2014/main" id="{8FCB88DB-EF39-47AB-AF30-BD10FF5AC355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38100</xdr:rowOff>
    </xdr:from>
    <xdr:to>
      <xdr:col>5</xdr:col>
      <xdr:colOff>0</xdr:colOff>
      <xdr:row>74</xdr:row>
      <xdr:rowOff>393700</xdr:rowOff>
    </xdr:to>
    <xdr:sp macro="" textlink="">
      <xdr:nvSpPr>
        <xdr:cNvPr id="124605" name="Line 59467">
          <a:extLst>
            <a:ext uri="{FF2B5EF4-FFF2-40B4-BE49-F238E27FC236}">
              <a16:creationId xmlns="" xmlns:a16="http://schemas.microsoft.com/office/drawing/2014/main" id="{E0ABD69C-DBC8-446C-8703-5E213D323A75}"/>
            </a:ext>
          </a:extLst>
        </xdr:cNvPr>
        <xdr:cNvSpPr>
          <a:spLocks noChangeShapeType="1"/>
        </xdr:cNvSpPr>
      </xdr:nvSpPr>
      <xdr:spPr bwMode="auto">
        <a:xfrm>
          <a:off x="912813" y="1854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06" name="Line 59486">
          <a:extLst>
            <a:ext uri="{FF2B5EF4-FFF2-40B4-BE49-F238E27FC236}">
              <a16:creationId xmlns="" xmlns:a16="http://schemas.microsoft.com/office/drawing/2014/main" id="{4F08A0D9-BD77-4199-AE71-ED2DE40DC509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38100</xdr:rowOff>
    </xdr:from>
    <xdr:to>
      <xdr:col>5</xdr:col>
      <xdr:colOff>0</xdr:colOff>
      <xdr:row>74</xdr:row>
      <xdr:rowOff>393700</xdr:rowOff>
    </xdr:to>
    <xdr:sp macro="" textlink="">
      <xdr:nvSpPr>
        <xdr:cNvPr id="124607" name="Line 59487">
          <a:extLst>
            <a:ext uri="{FF2B5EF4-FFF2-40B4-BE49-F238E27FC236}">
              <a16:creationId xmlns="" xmlns:a16="http://schemas.microsoft.com/office/drawing/2014/main" id="{6F280FC9-A872-4BC0-AE12-A71A50854E1C}"/>
            </a:ext>
          </a:extLst>
        </xdr:cNvPr>
        <xdr:cNvSpPr>
          <a:spLocks noChangeShapeType="1"/>
        </xdr:cNvSpPr>
      </xdr:nvSpPr>
      <xdr:spPr bwMode="auto">
        <a:xfrm>
          <a:off x="912813" y="1854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72" name="Line 59508">
          <a:extLst>
            <a:ext uri="{FF2B5EF4-FFF2-40B4-BE49-F238E27FC236}">
              <a16:creationId xmlns="" xmlns:a16="http://schemas.microsoft.com/office/drawing/2014/main" id="{32B75FDF-6677-4A13-B956-6E0BBF34A336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38100</xdr:rowOff>
    </xdr:from>
    <xdr:to>
      <xdr:col>5</xdr:col>
      <xdr:colOff>0</xdr:colOff>
      <xdr:row>74</xdr:row>
      <xdr:rowOff>393700</xdr:rowOff>
    </xdr:to>
    <xdr:sp macro="" textlink="">
      <xdr:nvSpPr>
        <xdr:cNvPr id="124673" name="Line 59509">
          <a:extLst>
            <a:ext uri="{FF2B5EF4-FFF2-40B4-BE49-F238E27FC236}">
              <a16:creationId xmlns="" xmlns:a16="http://schemas.microsoft.com/office/drawing/2014/main" id="{90F4E308-CD77-4B09-BC13-8AA481547289}"/>
            </a:ext>
          </a:extLst>
        </xdr:cNvPr>
        <xdr:cNvSpPr>
          <a:spLocks noChangeShapeType="1"/>
        </xdr:cNvSpPr>
      </xdr:nvSpPr>
      <xdr:spPr bwMode="auto">
        <a:xfrm>
          <a:off x="912813" y="1854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74" name="Line 59510">
          <a:extLst>
            <a:ext uri="{FF2B5EF4-FFF2-40B4-BE49-F238E27FC236}">
              <a16:creationId xmlns="" xmlns:a16="http://schemas.microsoft.com/office/drawing/2014/main" id="{8EC8DF13-26BD-4765-ABBD-786D8214A0DB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38100</xdr:rowOff>
    </xdr:from>
    <xdr:to>
      <xdr:col>5</xdr:col>
      <xdr:colOff>0</xdr:colOff>
      <xdr:row>74</xdr:row>
      <xdr:rowOff>393700</xdr:rowOff>
    </xdr:to>
    <xdr:sp macro="" textlink="">
      <xdr:nvSpPr>
        <xdr:cNvPr id="124675" name="Line 59511">
          <a:extLst>
            <a:ext uri="{FF2B5EF4-FFF2-40B4-BE49-F238E27FC236}">
              <a16:creationId xmlns="" xmlns:a16="http://schemas.microsoft.com/office/drawing/2014/main" id="{F0EF66B3-2701-453B-8D48-55CBED22F736}"/>
            </a:ext>
          </a:extLst>
        </xdr:cNvPr>
        <xdr:cNvSpPr>
          <a:spLocks noChangeShapeType="1"/>
        </xdr:cNvSpPr>
      </xdr:nvSpPr>
      <xdr:spPr bwMode="auto">
        <a:xfrm>
          <a:off x="912813" y="1854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76" name="Line 59512">
          <a:extLst>
            <a:ext uri="{FF2B5EF4-FFF2-40B4-BE49-F238E27FC236}">
              <a16:creationId xmlns="" xmlns:a16="http://schemas.microsoft.com/office/drawing/2014/main" id="{205B7912-7FD6-4D5E-B02E-F885E6474485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38100</xdr:rowOff>
    </xdr:from>
    <xdr:to>
      <xdr:col>5</xdr:col>
      <xdr:colOff>0</xdr:colOff>
      <xdr:row>74</xdr:row>
      <xdr:rowOff>393700</xdr:rowOff>
    </xdr:to>
    <xdr:sp macro="" textlink="">
      <xdr:nvSpPr>
        <xdr:cNvPr id="124677" name="Line 59513">
          <a:extLst>
            <a:ext uri="{FF2B5EF4-FFF2-40B4-BE49-F238E27FC236}">
              <a16:creationId xmlns="" xmlns:a16="http://schemas.microsoft.com/office/drawing/2014/main" id="{791F7FC6-C9D4-42F4-A13A-88D4F4A6A91D}"/>
            </a:ext>
          </a:extLst>
        </xdr:cNvPr>
        <xdr:cNvSpPr>
          <a:spLocks noChangeShapeType="1"/>
        </xdr:cNvSpPr>
      </xdr:nvSpPr>
      <xdr:spPr bwMode="auto">
        <a:xfrm>
          <a:off x="912813" y="1854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78" name="Line 59402">
          <a:extLst>
            <a:ext uri="{FF2B5EF4-FFF2-40B4-BE49-F238E27FC236}">
              <a16:creationId xmlns="" xmlns:a16="http://schemas.microsoft.com/office/drawing/2014/main" id="{FC2EE34C-98E2-4A32-923B-C9DFD3897DFB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19050</xdr:rowOff>
    </xdr:from>
    <xdr:to>
      <xdr:col>5</xdr:col>
      <xdr:colOff>0</xdr:colOff>
      <xdr:row>74</xdr:row>
      <xdr:rowOff>266700</xdr:rowOff>
    </xdr:to>
    <xdr:sp macro="" textlink="">
      <xdr:nvSpPr>
        <xdr:cNvPr id="124679" name="Line 59403">
          <a:extLst>
            <a:ext uri="{FF2B5EF4-FFF2-40B4-BE49-F238E27FC236}">
              <a16:creationId xmlns="" xmlns:a16="http://schemas.microsoft.com/office/drawing/2014/main" id="{53B5682B-95CF-49A6-B02D-C3BF6682364C}"/>
            </a:ext>
          </a:extLst>
        </xdr:cNvPr>
        <xdr:cNvSpPr>
          <a:spLocks noChangeShapeType="1"/>
        </xdr:cNvSpPr>
      </xdr:nvSpPr>
      <xdr:spPr bwMode="auto">
        <a:xfrm>
          <a:off x="912813" y="1852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80" name="Line 59422">
          <a:extLst>
            <a:ext uri="{FF2B5EF4-FFF2-40B4-BE49-F238E27FC236}">
              <a16:creationId xmlns="" xmlns:a16="http://schemas.microsoft.com/office/drawing/2014/main" id="{C3A3F785-E2DA-45AC-ABD5-B54EBFE00815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19050</xdr:rowOff>
    </xdr:from>
    <xdr:to>
      <xdr:col>5</xdr:col>
      <xdr:colOff>0</xdr:colOff>
      <xdr:row>74</xdr:row>
      <xdr:rowOff>266700</xdr:rowOff>
    </xdr:to>
    <xdr:sp macro="" textlink="">
      <xdr:nvSpPr>
        <xdr:cNvPr id="124681" name="Line 59423">
          <a:extLst>
            <a:ext uri="{FF2B5EF4-FFF2-40B4-BE49-F238E27FC236}">
              <a16:creationId xmlns="" xmlns:a16="http://schemas.microsoft.com/office/drawing/2014/main" id="{F6B88225-07DD-4A50-ACDD-D1890CF070A5}"/>
            </a:ext>
          </a:extLst>
        </xdr:cNvPr>
        <xdr:cNvSpPr>
          <a:spLocks noChangeShapeType="1"/>
        </xdr:cNvSpPr>
      </xdr:nvSpPr>
      <xdr:spPr bwMode="auto">
        <a:xfrm>
          <a:off x="912813" y="1852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82" name="Line 59442">
          <a:extLst>
            <a:ext uri="{FF2B5EF4-FFF2-40B4-BE49-F238E27FC236}">
              <a16:creationId xmlns="" xmlns:a16="http://schemas.microsoft.com/office/drawing/2014/main" id="{F9D46317-4080-4AE4-BFAD-62904039AF21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19050</xdr:rowOff>
    </xdr:from>
    <xdr:to>
      <xdr:col>5</xdr:col>
      <xdr:colOff>0</xdr:colOff>
      <xdr:row>74</xdr:row>
      <xdr:rowOff>266700</xdr:rowOff>
    </xdr:to>
    <xdr:sp macro="" textlink="">
      <xdr:nvSpPr>
        <xdr:cNvPr id="124683" name="Line 59443">
          <a:extLst>
            <a:ext uri="{FF2B5EF4-FFF2-40B4-BE49-F238E27FC236}">
              <a16:creationId xmlns="" xmlns:a16="http://schemas.microsoft.com/office/drawing/2014/main" id="{7E345C4E-9136-4058-A70D-2BDA28DD2918}"/>
            </a:ext>
          </a:extLst>
        </xdr:cNvPr>
        <xdr:cNvSpPr>
          <a:spLocks noChangeShapeType="1"/>
        </xdr:cNvSpPr>
      </xdr:nvSpPr>
      <xdr:spPr bwMode="auto">
        <a:xfrm>
          <a:off x="912813" y="1852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84" name="Line 59462">
          <a:extLst>
            <a:ext uri="{FF2B5EF4-FFF2-40B4-BE49-F238E27FC236}">
              <a16:creationId xmlns="" xmlns:a16="http://schemas.microsoft.com/office/drawing/2014/main" id="{DF0BA597-3350-4469-A14A-A89E84FD19C5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19050</xdr:rowOff>
    </xdr:from>
    <xdr:to>
      <xdr:col>5</xdr:col>
      <xdr:colOff>0</xdr:colOff>
      <xdr:row>74</xdr:row>
      <xdr:rowOff>266700</xdr:rowOff>
    </xdr:to>
    <xdr:sp macro="" textlink="">
      <xdr:nvSpPr>
        <xdr:cNvPr id="124685" name="Line 59463">
          <a:extLst>
            <a:ext uri="{FF2B5EF4-FFF2-40B4-BE49-F238E27FC236}">
              <a16:creationId xmlns="" xmlns:a16="http://schemas.microsoft.com/office/drawing/2014/main" id="{9FB61CB1-B4E4-4E8A-8C49-58EE5277A3FC}"/>
            </a:ext>
          </a:extLst>
        </xdr:cNvPr>
        <xdr:cNvSpPr>
          <a:spLocks noChangeShapeType="1"/>
        </xdr:cNvSpPr>
      </xdr:nvSpPr>
      <xdr:spPr bwMode="auto">
        <a:xfrm>
          <a:off x="912813" y="1852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74</xdr:row>
      <xdr:rowOff>0</xdr:rowOff>
    </xdr:from>
    <xdr:to>
      <xdr:col>11</xdr:col>
      <xdr:colOff>25400</xdr:colOff>
      <xdr:row>74</xdr:row>
      <xdr:rowOff>0</xdr:rowOff>
    </xdr:to>
    <xdr:sp macro="" textlink="">
      <xdr:nvSpPr>
        <xdr:cNvPr id="124686" name="Line 59482">
          <a:extLst>
            <a:ext uri="{FF2B5EF4-FFF2-40B4-BE49-F238E27FC236}">
              <a16:creationId xmlns="" xmlns:a16="http://schemas.microsoft.com/office/drawing/2014/main" id="{91DE34DD-F360-4E3F-9430-1B39BA60C230}"/>
            </a:ext>
          </a:extLst>
        </xdr:cNvPr>
        <xdr:cNvSpPr>
          <a:spLocks noChangeShapeType="1"/>
        </xdr:cNvSpPr>
      </xdr:nvSpPr>
      <xdr:spPr bwMode="auto">
        <a:xfrm>
          <a:off x="315913" y="1851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19050</xdr:rowOff>
    </xdr:from>
    <xdr:to>
      <xdr:col>5</xdr:col>
      <xdr:colOff>0</xdr:colOff>
      <xdr:row>74</xdr:row>
      <xdr:rowOff>266700</xdr:rowOff>
    </xdr:to>
    <xdr:sp macro="" textlink="">
      <xdr:nvSpPr>
        <xdr:cNvPr id="124687" name="Line 59483">
          <a:extLst>
            <a:ext uri="{FF2B5EF4-FFF2-40B4-BE49-F238E27FC236}">
              <a16:creationId xmlns="" xmlns:a16="http://schemas.microsoft.com/office/drawing/2014/main" id="{9744A0B4-DAD2-4CE3-BCA2-1FA41790CA2B}"/>
            </a:ext>
          </a:extLst>
        </xdr:cNvPr>
        <xdr:cNvSpPr>
          <a:spLocks noChangeShapeType="1"/>
        </xdr:cNvSpPr>
      </xdr:nvSpPr>
      <xdr:spPr bwMode="auto">
        <a:xfrm>
          <a:off x="912813" y="1852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74</xdr:row>
      <xdr:rowOff>19050</xdr:rowOff>
    </xdr:from>
    <xdr:to>
      <xdr:col>5</xdr:col>
      <xdr:colOff>0</xdr:colOff>
      <xdr:row>74</xdr:row>
      <xdr:rowOff>266700</xdr:rowOff>
    </xdr:to>
    <xdr:sp macro="" textlink="">
      <xdr:nvSpPr>
        <xdr:cNvPr id="124688" name="Line 59503">
          <a:extLst>
            <a:ext uri="{FF2B5EF4-FFF2-40B4-BE49-F238E27FC236}">
              <a16:creationId xmlns="" xmlns:a16="http://schemas.microsoft.com/office/drawing/2014/main" id="{16F1EFC0-294B-4A68-A010-9AA030D08147}"/>
            </a:ext>
          </a:extLst>
        </xdr:cNvPr>
        <xdr:cNvSpPr>
          <a:spLocks noChangeShapeType="1"/>
        </xdr:cNvSpPr>
      </xdr:nvSpPr>
      <xdr:spPr bwMode="auto">
        <a:xfrm>
          <a:off x="912813" y="1852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4689" name="Line 59407">
          <a:extLst>
            <a:ext uri="{FF2B5EF4-FFF2-40B4-BE49-F238E27FC236}">
              <a16:creationId xmlns="" xmlns:a16="http://schemas.microsoft.com/office/drawing/2014/main" id="{ED325B6C-7651-4D42-AF25-76941D46E0AF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4690" name="Line 59427">
          <a:extLst>
            <a:ext uri="{FF2B5EF4-FFF2-40B4-BE49-F238E27FC236}">
              <a16:creationId xmlns="" xmlns:a16="http://schemas.microsoft.com/office/drawing/2014/main" id="{08588239-822E-4F2A-A0BE-51D55065559A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4691" name="Line 59447">
          <a:extLst>
            <a:ext uri="{FF2B5EF4-FFF2-40B4-BE49-F238E27FC236}">
              <a16:creationId xmlns="" xmlns:a16="http://schemas.microsoft.com/office/drawing/2014/main" id="{FFDFF294-4B2B-4318-88AE-1A6754934EFC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4692" name="Line 59467">
          <a:extLst>
            <a:ext uri="{FF2B5EF4-FFF2-40B4-BE49-F238E27FC236}">
              <a16:creationId xmlns="" xmlns:a16="http://schemas.microsoft.com/office/drawing/2014/main" id="{D629B7DD-5487-4F3E-9DBF-22C19B8767AC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4693" name="Line 59487">
          <a:extLst>
            <a:ext uri="{FF2B5EF4-FFF2-40B4-BE49-F238E27FC236}">
              <a16:creationId xmlns="" xmlns:a16="http://schemas.microsoft.com/office/drawing/2014/main" id="{CA410C20-4857-4985-906D-16152EEB2AD0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4694" name="Line 59509">
          <a:extLst>
            <a:ext uri="{FF2B5EF4-FFF2-40B4-BE49-F238E27FC236}">
              <a16:creationId xmlns="" xmlns:a16="http://schemas.microsoft.com/office/drawing/2014/main" id="{DAA08CC6-572F-4FB2-9FE7-247098BBBEC8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4695" name="Line 59511">
          <a:extLst>
            <a:ext uri="{FF2B5EF4-FFF2-40B4-BE49-F238E27FC236}">
              <a16:creationId xmlns="" xmlns:a16="http://schemas.microsoft.com/office/drawing/2014/main" id="{D276602B-CCE6-42AB-B082-6923260D4DF0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4696" name="Line 59513">
          <a:extLst>
            <a:ext uri="{FF2B5EF4-FFF2-40B4-BE49-F238E27FC236}">
              <a16:creationId xmlns="" xmlns:a16="http://schemas.microsoft.com/office/drawing/2014/main" id="{CF93A702-8A99-4435-BC06-ACBCD1389D5D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537" name="Line 59407">
          <a:extLst>
            <a:ext uri="{FF2B5EF4-FFF2-40B4-BE49-F238E27FC236}">
              <a16:creationId xmlns="" xmlns:a16="http://schemas.microsoft.com/office/drawing/2014/main" id="{A5E5555B-0EA2-4E69-B8CE-995044ABA4D3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538" name="Line 59427">
          <a:extLst>
            <a:ext uri="{FF2B5EF4-FFF2-40B4-BE49-F238E27FC236}">
              <a16:creationId xmlns="" xmlns:a16="http://schemas.microsoft.com/office/drawing/2014/main" id="{2901DC9D-9E4D-4FDF-B03E-9DDF6127E1EC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539" name="Line 59447">
          <a:extLst>
            <a:ext uri="{FF2B5EF4-FFF2-40B4-BE49-F238E27FC236}">
              <a16:creationId xmlns="" xmlns:a16="http://schemas.microsoft.com/office/drawing/2014/main" id="{581C9083-9BFC-4966-8A58-82701E2C00C4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540" name="Line 59467">
          <a:extLst>
            <a:ext uri="{FF2B5EF4-FFF2-40B4-BE49-F238E27FC236}">
              <a16:creationId xmlns="" xmlns:a16="http://schemas.microsoft.com/office/drawing/2014/main" id="{BC175070-0D27-4DBD-A16B-5723471AC459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541" name="Line 59487">
          <a:extLst>
            <a:ext uri="{FF2B5EF4-FFF2-40B4-BE49-F238E27FC236}">
              <a16:creationId xmlns="" xmlns:a16="http://schemas.microsoft.com/office/drawing/2014/main" id="{266782EA-5F92-4338-8FC5-98E64D3154D9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542" name="Line 59509">
          <a:extLst>
            <a:ext uri="{FF2B5EF4-FFF2-40B4-BE49-F238E27FC236}">
              <a16:creationId xmlns="" xmlns:a16="http://schemas.microsoft.com/office/drawing/2014/main" id="{25C20410-0857-48D8-AD41-0D3B7C082ED9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543" name="Line 59511">
          <a:extLst>
            <a:ext uri="{FF2B5EF4-FFF2-40B4-BE49-F238E27FC236}">
              <a16:creationId xmlns="" xmlns:a16="http://schemas.microsoft.com/office/drawing/2014/main" id="{B2E43984-ECC4-4F52-B132-0E8491AEE2CD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544" name="Line 59513">
          <a:extLst>
            <a:ext uri="{FF2B5EF4-FFF2-40B4-BE49-F238E27FC236}">
              <a16:creationId xmlns="" xmlns:a16="http://schemas.microsoft.com/office/drawing/2014/main" id="{C321413E-3E3B-4B69-BF94-A3CD12A18A2C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545" name="Line 59406">
          <a:extLst>
            <a:ext uri="{FF2B5EF4-FFF2-40B4-BE49-F238E27FC236}">
              <a16:creationId xmlns="" xmlns:a16="http://schemas.microsoft.com/office/drawing/2014/main" id="{532E9F7B-33F5-4977-BBE4-F56A2B14192F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546" name="Line 59407">
          <a:extLst>
            <a:ext uri="{FF2B5EF4-FFF2-40B4-BE49-F238E27FC236}">
              <a16:creationId xmlns="" xmlns:a16="http://schemas.microsoft.com/office/drawing/2014/main" id="{F4823F33-017D-482A-833F-21A2586AC92E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547" name="Line 59426">
          <a:extLst>
            <a:ext uri="{FF2B5EF4-FFF2-40B4-BE49-F238E27FC236}">
              <a16:creationId xmlns="" xmlns:a16="http://schemas.microsoft.com/office/drawing/2014/main" id="{FD091394-6581-4F47-8062-A5F6F9F75DCB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548" name="Line 59427">
          <a:extLst>
            <a:ext uri="{FF2B5EF4-FFF2-40B4-BE49-F238E27FC236}">
              <a16:creationId xmlns="" xmlns:a16="http://schemas.microsoft.com/office/drawing/2014/main" id="{90A5B311-7DD3-44F5-8A52-8ED7758E9554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697" name="Line 59446">
          <a:extLst>
            <a:ext uri="{FF2B5EF4-FFF2-40B4-BE49-F238E27FC236}">
              <a16:creationId xmlns="" xmlns:a16="http://schemas.microsoft.com/office/drawing/2014/main" id="{75EBE184-3349-4A42-A357-3FF2DCF440C2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698" name="Line 59447">
          <a:extLst>
            <a:ext uri="{FF2B5EF4-FFF2-40B4-BE49-F238E27FC236}">
              <a16:creationId xmlns="" xmlns:a16="http://schemas.microsoft.com/office/drawing/2014/main" id="{ACDD0A58-7B84-48C5-9F0A-2DF752527174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699" name="Line 59466">
          <a:extLst>
            <a:ext uri="{FF2B5EF4-FFF2-40B4-BE49-F238E27FC236}">
              <a16:creationId xmlns="" xmlns:a16="http://schemas.microsoft.com/office/drawing/2014/main" id="{F0E8CB3F-B7F6-47C3-920D-5AD0D073A67A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700" name="Line 59467">
          <a:extLst>
            <a:ext uri="{FF2B5EF4-FFF2-40B4-BE49-F238E27FC236}">
              <a16:creationId xmlns="" xmlns:a16="http://schemas.microsoft.com/office/drawing/2014/main" id="{4E64C9A8-79D2-4EA0-8B3F-471B839250DC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701" name="Line 59486">
          <a:extLst>
            <a:ext uri="{FF2B5EF4-FFF2-40B4-BE49-F238E27FC236}">
              <a16:creationId xmlns="" xmlns:a16="http://schemas.microsoft.com/office/drawing/2014/main" id="{8F42E2FF-C810-4A67-86DF-CA85CC0351DE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761" name="Line 59487">
          <a:extLst>
            <a:ext uri="{FF2B5EF4-FFF2-40B4-BE49-F238E27FC236}">
              <a16:creationId xmlns="" xmlns:a16="http://schemas.microsoft.com/office/drawing/2014/main" id="{6D98A557-B3F3-4A4B-ABEB-A9C38B163DB0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860" name="Line 59508">
          <a:extLst>
            <a:ext uri="{FF2B5EF4-FFF2-40B4-BE49-F238E27FC236}">
              <a16:creationId xmlns="" xmlns:a16="http://schemas.microsoft.com/office/drawing/2014/main" id="{6E3C50E2-55A5-4DD1-9BC7-EF9A0754A4D8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861" name="Line 59509">
          <a:extLst>
            <a:ext uri="{FF2B5EF4-FFF2-40B4-BE49-F238E27FC236}">
              <a16:creationId xmlns="" xmlns:a16="http://schemas.microsoft.com/office/drawing/2014/main" id="{E8438535-3DCA-43EB-AB96-57734D6BD8B0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862" name="Line 59510">
          <a:extLst>
            <a:ext uri="{FF2B5EF4-FFF2-40B4-BE49-F238E27FC236}">
              <a16:creationId xmlns="" xmlns:a16="http://schemas.microsoft.com/office/drawing/2014/main" id="{6B2A751E-510E-4CDD-9581-591F82B17EE1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863" name="Line 59511">
          <a:extLst>
            <a:ext uri="{FF2B5EF4-FFF2-40B4-BE49-F238E27FC236}">
              <a16:creationId xmlns="" xmlns:a16="http://schemas.microsoft.com/office/drawing/2014/main" id="{374390E5-66D9-4AD4-928E-4D0F8CF40367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864" name="Line 59512">
          <a:extLst>
            <a:ext uri="{FF2B5EF4-FFF2-40B4-BE49-F238E27FC236}">
              <a16:creationId xmlns="" xmlns:a16="http://schemas.microsoft.com/office/drawing/2014/main" id="{76A9F4EC-DD5F-4933-9445-FA694ECFA003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865" name="Line 59513">
          <a:extLst>
            <a:ext uri="{FF2B5EF4-FFF2-40B4-BE49-F238E27FC236}">
              <a16:creationId xmlns="" xmlns:a16="http://schemas.microsoft.com/office/drawing/2014/main" id="{EFD4DE1F-EBAC-4F74-9E73-305FF8758D28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866" name="Line 59402">
          <a:extLst>
            <a:ext uri="{FF2B5EF4-FFF2-40B4-BE49-F238E27FC236}">
              <a16:creationId xmlns="" xmlns:a16="http://schemas.microsoft.com/office/drawing/2014/main" id="{7A5E0C29-6B59-426A-87F7-2A4591C03237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867" name="Line 59403">
          <a:extLst>
            <a:ext uri="{FF2B5EF4-FFF2-40B4-BE49-F238E27FC236}">
              <a16:creationId xmlns="" xmlns:a16="http://schemas.microsoft.com/office/drawing/2014/main" id="{70D2AE86-897E-4D9C-A4D4-5C2BF00F7624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868" name="Line 59422">
          <a:extLst>
            <a:ext uri="{FF2B5EF4-FFF2-40B4-BE49-F238E27FC236}">
              <a16:creationId xmlns="" xmlns:a16="http://schemas.microsoft.com/office/drawing/2014/main" id="{2D599366-8DCE-462A-93C3-DCCCF17576E1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869" name="Line 59423">
          <a:extLst>
            <a:ext uri="{FF2B5EF4-FFF2-40B4-BE49-F238E27FC236}">
              <a16:creationId xmlns="" xmlns:a16="http://schemas.microsoft.com/office/drawing/2014/main" id="{40EF7CBF-799C-4584-84A6-606327F0B76D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870" name="Line 59442">
          <a:extLst>
            <a:ext uri="{FF2B5EF4-FFF2-40B4-BE49-F238E27FC236}">
              <a16:creationId xmlns="" xmlns:a16="http://schemas.microsoft.com/office/drawing/2014/main" id="{5C3566B5-2713-4DD5-96FD-D0D4B7796B40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871" name="Line 59443">
          <a:extLst>
            <a:ext uri="{FF2B5EF4-FFF2-40B4-BE49-F238E27FC236}">
              <a16:creationId xmlns="" xmlns:a16="http://schemas.microsoft.com/office/drawing/2014/main" id="{2917E1E9-2B03-4DD3-884F-5A88D617DB2B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872" name="Line 59462">
          <a:extLst>
            <a:ext uri="{FF2B5EF4-FFF2-40B4-BE49-F238E27FC236}">
              <a16:creationId xmlns="" xmlns:a16="http://schemas.microsoft.com/office/drawing/2014/main" id="{14CF26DD-95B7-4180-BA4B-C56689D2D6D5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873" name="Line 59463">
          <a:extLst>
            <a:ext uri="{FF2B5EF4-FFF2-40B4-BE49-F238E27FC236}">
              <a16:creationId xmlns="" xmlns:a16="http://schemas.microsoft.com/office/drawing/2014/main" id="{7A58378A-6964-4239-9ECA-1981523E527C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874" name="Line 59482">
          <a:extLst>
            <a:ext uri="{FF2B5EF4-FFF2-40B4-BE49-F238E27FC236}">
              <a16:creationId xmlns="" xmlns:a16="http://schemas.microsoft.com/office/drawing/2014/main" id="{008D0B34-8F7B-4442-A480-99A21FBFF6A3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875" name="Line 59483">
          <a:extLst>
            <a:ext uri="{FF2B5EF4-FFF2-40B4-BE49-F238E27FC236}">
              <a16:creationId xmlns="" xmlns:a16="http://schemas.microsoft.com/office/drawing/2014/main" id="{D367D074-C004-4C26-8DB1-DF5EFFE9CADC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876" name="Line 59502">
          <a:extLst>
            <a:ext uri="{FF2B5EF4-FFF2-40B4-BE49-F238E27FC236}">
              <a16:creationId xmlns="" xmlns:a16="http://schemas.microsoft.com/office/drawing/2014/main" id="{B614503E-C9A4-4F0D-B8D2-CB0F7F4B3BC0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877" name="Line 59503">
          <a:extLst>
            <a:ext uri="{FF2B5EF4-FFF2-40B4-BE49-F238E27FC236}">
              <a16:creationId xmlns="" xmlns:a16="http://schemas.microsoft.com/office/drawing/2014/main" id="{DFD32800-655F-43A3-AA43-7CD8534620F1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78" name="Line 59407">
          <a:extLst>
            <a:ext uri="{FF2B5EF4-FFF2-40B4-BE49-F238E27FC236}">
              <a16:creationId xmlns="" xmlns:a16="http://schemas.microsoft.com/office/drawing/2014/main" id="{A8ACE55C-D159-45A6-BF61-ECC2091ABA07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79" name="Line 59427">
          <a:extLst>
            <a:ext uri="{FF2B5EF4-FFF2-40B4-BE49-F238E27FC236}">
              <a16:creationId xmlns="" xmlns:a16="http://schemas.microsoft.com/office/drawing/2014/main" id="{58B686DB-4473-40BE-89C0-054CB10C9C86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80" name="Line 59447">
          <a:extLst>
            <a:ext uri="{FF2B5EF4-FFF2-40B4-BE49-F238E27FC236}">
              <a16:creationId xmlns="" xmlns:a16="http://schemas.microsoft.com/office/drawing/2014/main" id="{2E9F2EAC-528A-4226-B200-30E62352CB15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81" name="Line 59467">
          <a:extLst>
            <a:ext uri="{FF2B5EF4-FFF2-40B4-BE49-F238E27FC236}">
              <a16:creationId xmlns="" xmlns:a16="http://schemas.microsoft.com/office/drawing/2014/main" id="{3102373C-E074-420C-8610-7294AF430EEA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82" name="Line 59487">
          <a:extLst>
            <a:ext uri="{FF2B5EF4-FFF2-40B4-BE49-F238E27FC236}">
              <a16:creationId xmlns="" xmlns:a16="http://schemas.microsoft.com/office/drawing/2014/main" id="{F4D51566-F327-4BC0-8F83-7710D2A2D29C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83" name="Line 59509">
          <a:extLst>
            <a:ext uri="{FF2B5EF4-FFF2-40B4-BE49-F238E27FC236}">
              <a16:creationId xmlns="" xmlns:a16="http://schemas.microsoft.com/office/drawing/2014/main" id="{E63E7E0A-B11A-43FD-A84D-7662995A2A7E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84" name="Line 59511">
          <a:extLst>
            <a:ext uri="{FF2B5EF4-FFF2-40B4-BE49-F238E27FC236}">
              <a16:creationId xmlns="" xmlns:a16="http://schemas.microsoft.com/office/drawing/2014/main" id="{EFD75AB2-5B75-4C09-8F61-F62BF17056E0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85" name="Line 59513">
          <a:extLst>
            <a:ext uri="{FF2B5EF4-FFF2-40B4-BE49-F238E27FC236}">
              <a16:creationId xmlns="" xmlns:a16="http://schemas.microsoft.com/office/drawing/2014/main" id="{6997C4ED-5F48-4BF2-8A3A-24C21BD8990C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86" name="Line 59407">
          <a:extLst>
            <a:ext uri="{FF2B5EF4-FFF2-40B4-BE49-F238E27FC236}">
              <a16:creationId xmlns="" xmlns:a16="http://schemas.microsoft.com/office/drawing/2014/main" id="{A547792E-669D-4FDA-8186-49C04EBB0AF5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87" name="Line 59427">
          <a:extLst>
            <a:ext uri="{FF2B5EF4-FFF2-40B4-BE49-F238E27FC236}">
              <a16:creationId xmlns="" xmlns:a16="http://schemas.microsoft.com/office/drawing/2014/main" id="{ECB64808-EC29-497A-9225-29796CEF68FE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88" name="Line 59447">
          <a:extLst>
            <a:ext uri="{FF2B5EF4-FFF2-40B4-BE49-F238E27FC236}">
              <a16:creationId xmlns="" xmlns:a16="http://schemas.microsoft.com/office/drawing/2014/main" id="{02005644-161E-4833-AA9F-65743709AE0D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90" name="Line 59467">
          <a:extLst>
            <a:ext uri="{FF2B5EF4-FFF2-40B4-BE49-F238E27FC236}">
              <a16:creationId xmlns="" xmlns:a16="http://schemas.microsoft.com/office/drawing/2014/main" id="{7DFF4B55-16DB-465D-B45B-218478E5F297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92" name="Line 59487">
          <a:extLst>
            <a:ext uri="{FF2B5EF4-FFF2-40B4-BE49-F238E27FC236}">
              <a16:creationId xmlns="" xmlns:a16="http://schemas.microsoft.com/office/drawing/2014/main" id="{39760549-ED8D-47CC-BF91-DF3ECAA888FF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94" name="Line 59509">
          <a:extLst>
            <a:ext uri="{FF2B5EF4-FFF2-40B4-BE49-F238E27FC236}">
              <a16:creationId xmlns="" xmlns:a16="http://schemas.microsoft.com/office/drawing/2014/main" id="{A2736CC2-D9B1-4A18-90D4-C346CBB8EF0C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96" name="Line 59511">
          <a:extLst>
            <a:ext uri="{FF2B5EF4-FFF2-40B4-BE49-F238E27FC236}">
              <a16:creationId xmlns="" xmlns:a16="http://schemas.microsoft.com/office/drawing/2014/main" id="{3B11F047-2C09-4421-BDF2-BE315867FC98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38100</xdr:rowOff>
    </xdr:from>
    <xdr:to>
      <xdr:col>5</xdr:col>
      <xdr:colOff>0</xdr:colOff>
      <xdr:row>96</xdr:row>
      <xdr:rowOff>393700</xdr:rowOff>
    </xdr:to>
    <xdr:sp macro="" textlink="">
      <xdr:nvSpPr>
        <xdr:cNvPr id="124898" name="Line 59513">
          <a:extLst>
            <a:ext uri="{FF2B5EF4-FFF2-40B4-BE49-F238E27FC236}">
              <a16:creationId xmlns="" xmlns:a16="http://schemas.microsoft.com/office/drawing/2014/main" id="{375C400D-A43D-4CE8-90F5-D8CD4191F4CA}"/>
            </a:ext>
          </a:extLst>
        </xdr:cNvPr>
        <xdr:cNvSpPr>
          <a:spLocks noChangeShapeType="1"/>
        </xdr:cNvSpPr>
      </xdr:nvSpPr>
      <xdr:spPr bwMode="auto">
        <a:xfrm>
          <a:off x="912813" y="19945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900" name="Line 59406">
          <a:extLst>
            <a:ext uri="{FF2B5EF4-FFF2-40B4-BE49-F238E27FC236}">
              <a16:creationId xmlns="" xmlns:a16="http://schemas.microsoft.com/office/drawing/2014/main" id="{DE731F92-9993-43F2-8A5C-7C475A9AE793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902" name="Line 59407">
          <a:extLst>
            <a:ext uri="{FF2B5EF4-FFF2-40B4-BE49-F238E27FC236}">
              <a16:creationId xmlns="" xmlns:a16="http://schemas.microsoft.com/office/drawing/2014/main" id="{C9ECED55-99AE-47CA-8281-A0CBC66DFD64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904" name="Line 59426">
          <a:extLst>
            <a:ext uri="{FF2B5EF4-FFF2-40B4-BE49-F238E27FC236}">
              <a16:creationId xmlns="" xmlns:a16="http://schemas.microsoft.com/office/drawing/2014/main" id="{C8D43F50-5A59-46D9-B7BF-CDAA4F9A3F86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905" name="Line 59427">
          <a:extLst>
            <a:ext uri="{FF2B5EF4-FFF2-40B4-BE49-F238E27FC236}">
              <a16:creationId xmlns="" xmlns:a16="http://schemas.microsoft.com/office/drawing/2014/main" id="{F7B8092C-AB00-4C36-AF3C-BC2F2AD92C33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906" name="Line 59446">
          <a:extLst>
            <a:ext uri="{FF2B5EF4-FFF2-40B4-BE49-F238E27FC236}">
              <a16:creationId xmlns="" xmlns:a16="http://schemas.microsoft.com/office/drawing/2014/main" id="{7B5C1CEE-DEB7-4096-9D63-2BD9D3224112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907" name="Line 59447">
          <a:extLst>
            <a:ext uri="{FF2B5EF4-FFF2-40B4-BE49-F238E27FC236}">
              <a16:creationId xmlns="" xmlns:a16="http://schemas.microsoft.com/office/drawing/2014/main" id="{3A7C9E9C-123B-442F-A4D5-CC7BEBAC3279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908" name="Line 59466">
          <a:extLst>
            <a:ext uri="{FF2B5EF4-FFF2-40B4-BE49-F238E27FC236}">
              <a16:creationId xmlns="" xmlns:a16="http://schemas.microsoft.com/office/drawing/2014/main" id="{E6352350-F58D-4339-BD85-7399163FB314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909" name="Line 59467">
          <a:extLst>
            <a:ext uri="{FF2B5EF4-FFF2-40B4-BE49-F238E27FC236}">
              <a16:creationId xmlns="" xmlns:a16="http://schemas.microsoft.com/office/drawing/2014/main" id="{1EE8BB3A-2812-4D6F-82B8-42A014E89578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910" name="Line 59486">
          <a:extLst>
            <a:ext uri="{FF2B5EF4-FFF2-40B4-BE49-F238E27FC236}">
              <a16:creationId xmlns="" xmlns:a16="http://schemas.microsoft.com/office/drawing/2014/main" id="{3F8B7C42-57EE-4911-AF18-F87D546B539F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911" name="Line 59487">
          <a:extLst>
            <a:ext uri="{FF2B5EF4-FFF2-40B4-BE49-F238E27FC236}">
              <a16:creationId xmlns="" xmlns:a16="http://schemas.microsoft.com/office/drawing/2014/main" id="{3A1F234F-499D-4A3E-BD5F-E39E260048B4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912" name="Line 59508">
          <a:extLst>
            <a:ext uri="{FF2B5EF4-FFF2-40B4-BE49-F238E27FC236}">
              <a16:creationId xmlns="" xmlns:a16="http://schemas.microsoft.com/office/drawing/2014/main" id="{C203E17A-ED19-4A21-9D02-A2E473C28BE2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913" name="Line 59509">
          <a:extLst>
            <a:ext uri="{FF2B5EF4-FFF2-40B4-BE49-F238E27FC236}">
              <a16:creationId xmlns="" xmlns:a16="http://schemas.microsoft.com/office/drawing/2014/main" id="{C05A5623-5103-4276-A9D2-9A02083FC644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914" name="Line 59510">
          <a:extLst>
            <a:ext uri="{FF2B5EF4-FFF2-40B4-BE49-F238E27FC236}">
              <a16:creationId xmlns="" xmlns:a16="http://schemas.microsoft.com/office/drawing/2014/main" id="{39FB3B33-C5A9-4301-97A2-4169E6EB02BE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192" name="Line 59511">
          <a:extLst>
            <a:ext uri="{FF2B5EF4-FFF2-40B4-BE49-F238E27FC236}">
              <a16:creationId xmlns="" xmlns:a16="http://schemas.microsoft.com/office/drawing/2014/main" id="{94EC6CA8-FB7D-453D-848D-16AAC7BA952E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193" name="Line 59512">
          <a:extLst>
            <a:ext uri="{FF2B5EF4-FFF2-40B4-BE49-F238E27FC236}">
              <a16:creationId xmlns="" xmlns:a16="http://schemas.microsoft.com/office/drawing/2014/main" id="{ACF78B51-9A31-46BC-A0E8-975AA544B181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194" name="Line 59513">
          <a:extLst>
            <a:ext uri="{FF2B5EF4-FFF2-40B4-BE49-F238E27FC236}">
              <a16:creationId xmlns="" xmlns:a16="http://schemas.microsoft.com/office/drawing/2014/main" id="{14F65CC9-262F-4572-93EC-4BEB9A373F43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195" name="Line 59402">
          <a:extLst>
            <a:ext uri="{FF2B5EF4-FFF2-40B4-BE49-F238E27FC236}">
              <a16:creationId xmlns="" xmlns:a16="http://schemas.microsoft.com/office/drawing/2014/main" id="{7D214899-678E-4253-8CBE-F9420D6A1EF8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196" name="Line 59403">
          <a:extLst>
            <a:ext uri="{FF2B5EF4-FFF2-40B4-BE49-F238E27FC236}">
              <a16:creationId xmlns="" xmlns:a16="http://schemas.microsoft.com/office/drawing/2014/main" id="{9886401D-EE36-4356-898F-00C9D2EFAAB6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197" name="Line 59422">
          <a:extLst>
            <a:ext uri="{FF2B5EF4-FFF2-40B4-BE49-F238E27FC236}">
              <a16:creationId xmlns="" xmlns:a16="http://schemas.microsoft.com/office/drawing/2014/main" id="{CABCBE08-1007-45B6-9242-BB61C1B16752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198" name="Line 59423">
          <a:extLst>
            <a:ext uri="{FF2B5EF4-FFF2-40B4-BE49-F238E27FC236}">
              <a16:creationId xmlns="" xmlns:a16="http://schemas.microsoft.com/office/drawing/2014/main" id="{EADD3349-2218-46D8-82F4-28FC6189FBF3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199" name="Line 59442">
          <a:extLst>
            <a:ext uri="{FF2B5EF4-FFF2-40B4-BE49-F238E27FC236}">
              <a16:creationId xmlns="" xmlns:a16="http://schemas.microsoft.com/office/drawing/2014/main" id="{5A057E22-1E44-4533-9877-C0BD20F87E37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200" name="Line 59443">
          <a:extLst>
            <a:ext uri="{FF2B5EF4-FFF2-40B4-BE49-F238E27FC236}">
              <a16:creationId xmlns="" xmlns:a16="http://schemas.microsoft.com/office/drawing/2014/main" id="{52BCC23B-9CE2-49DD-90D0-674D4A11C091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01" name="Line 59462">
          <a:extLst>
            <a:ext uri="{FF2B5EF4-FFF2-40B4-BE49-F238E27FC236}">
              <a16:creationId xmlns="" xmlns:a16="http://schemas.microsoft.com/office/drawing/2014/main" id="{3E8B50AF-9760-4FE0-B8E0-09EC3CB2F7CB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202" name="Line 59463">
          <a:extLst>
            <a:ext uri="{FF2B5EF4-FFF2-40B4-BE49-F238E27FC236}">
              <a16:creationId xmlns="" xmlns:a16="http://schemas.microsoft.com/office/drawing/2014/main" id="{2E13178A-B9F7-499C-9D17-09D5A87EFF34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03" name="Line 59482">
          <a:extLst>
            <a:ext uri="{FF2B5EF4-FFF2-40B4-BE49-F238E27FC236}">
              <a16:creationId xmlns="" xmlns:a16="http://schemas.microsoft.com/office/drawing/2014/main" id="{BD6269F5-7F80-4856-B750-1936D00935DA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204" name="Line 59483">
          <a:extLst>
            <a:ext uri="{FF2B5EF4-FFF2-40B4-BE49-F238E27FC236}">
              <a16:creationId xmlns="" xmlns:a16="http://schemas.microsoft.com/office/drawing/2014/main" id="{7C431714-91DE-40AC-93A6-16C6232D614C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05" name="Line 59502">
          <a:extLst>
            <a:ext uri="{FF2B5EF4-FFF2-40B4-BE49-F238E27FC236}">
              <a16:creationId xmlns="" xmlns:a16="http://schemas.microsoft.com/office/drawing/2014/main" id="{023416F7-7C42-4E90-8B5D-F79362FBA455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206" name="Line 59503">
          <a:extLst>
            <a:ext uri="{FF2B5EF4-FFF2-40B4-BE49-F238E27FC236}">
              <a16:creationId xmlns="" xmlns:a16="http://schemas.microsoft.com/office/drawing/2014/main" id="{1684A0A4-B98D-41B0-97AB-72F845DC41B8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07" name="Line 59406">
          <a:extLst>
            <a:ext uri="{FF2B5EF4-FFF2-40B4-BE49-F238E27FC236}">
              <a16:creationId xmlns="" xmlns:a16="http://schemas.microsoft.com/office/drawing/2014/main" id="{E6D66988-3921-4165-B98A-B14CA97498BA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08" name="Line 59407">
          <a:extLst>
            <a:ext uri="{FF2B5EF4-FFF2-40B4-BE49-F238E27FC236}">
              <a16:creationId xmlns="" xmlns:a16="http://schemas.microsoft.com/office/drawing/2014/main" id="{60D62C04-9D42-41A0-9DDC-A39E42510ADF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09" name="Line 59426">
          <a:extLst>
            <a:ext uri="{FF2B5EF4-FFF2-40B4-BE49-F238E27FC236}">
              <a16:creationId xmlns="" xmlns:a16="http://schemas.microsoft.com/office/drawing/2014/main" id="{4408315B-C329-427C-BBFB-911D3A2D7196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10" name="Line 59427">
          <a:extLst>
            <a:ext uri="{FF2B5EF4-FFF2-40B4-BE49-F238E27FC236}">
              <a16:creationId xmlns="" xmlns:a16="http://schemas.microsoft.com/office/drawing/2014/main" id="{225C710A-A2F0-43BC-80F7-B4A26B0437DB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11" name="Line 59446">
          <a:extLst>
            <a:ext uri="{FF2B5EF4-FFF2-40B4-BE49-F238E27FC236}">
              <a16:creationId xmlns="" xmlns:a16="http://schemas.microsoft.com/office/drawing/2014/main" id="{5FD20FFC-7253-4284-B9DB-F5E0F7FD003D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12" name="Line 59447">
          <a:extLst>
            <a:ext uri="{FF2B5EF4-FFF2-40B4-BE49-F238E27FC236}">
              <a16:creationId xmlns="" xmlns:a16="http://schemas.microsoft.com/office/drawing/2014/main" id="{3456DA75-7B6A-490D-904B-A166C8FDDE13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13" name="Line 59466">
          <a:extLst>
            <a:ext uri="{FF2B5EF4-FFF2-40B4-BE49-F238E27FC236}">
              <a16:creationId xmlns="" xmlns:a16="http://schemas.microsoft.com/office/drawing/2014/main" id="{0E7E627C-C09B-469D-9C8D-862123F7070C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14" name="Line 59467">
          <a:extLst>
            <a:ext uri="{FF2B5EF4-FFF2-40B4-BE49-F238E27FC236}">
              <a16:creationId xmlns="" xmlns:a16="http://schemas.microsoft.com/office/drawing/2014/main" id="{2FBAC12E-B40D-4C96-B90D-C8BDEC609987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15" name="Line 59486">
          <a:extLst>
            <a:ext uri="{FF2B5EF4-FFF2-40B4-BE49-F238E27FC236}">
              <a16:creationId xmlns="" xmlns:a16="http://schemas.microsoft.com/office/drawing/2014/main" id="{55B6B052-76CC-448D-8D74-A0CECE03687B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16" name="Line 59487">
          <a:extLst>
            <a:ext uri="{FF2B5EF4-FFF2-40B4-BE49-F238E27FC236}">
              <a16:creationId xmlns="" xmlns:a16="http://schemas.microsoft.com/office/drawing/2014/main" id="{B4CC970B-E65E-4FFE-AEFD-DFC15B32A27C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17" name="Line 59508">
          <a:extLst>
            <a:ext uri="{FF2B5EF4-FFF2-40B4-BE49-F238E27FC236}">
              <a16:creationId xmlns="" xmlns:a16="http://schemas.microsoft.com/office/drawing/2014/main" id="{E63EA9CE-258C-4E0C-A872-C9B2FDD47C31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18" name="Line 59509">
          <a:extLst>
            <a:ext uri="{FF2B5EF4-FFF2-40B4-BE49-F238E27FC236}">
              <a16:creationId xmlns="" xmlns:a16="http://schemas.microsoft.com/office/drawing/2014/main" id="{1B7745E3-522A-4087-BB41-7E88370F9944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19" name="Line 59510">
          <a:extLst>
            <a:ext uri="{FF2B5EF4-FFF2-40B4-BE49-F238E27FC236}">
              <a16:creationId xmlns="" xmlns:a16="http://schemas.microsoft.com/office/drawing/2014/main" id="{AD31AAB6-382D-434B-9FB7-F8FAD907CFE0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20" name="Line 59511">
          <a:extLst>
            <a:ext uri="{FF2B5EF4-FFF2-40B4-BE49-F238E27FC236}">
              <a16:creationId xmlns="" xmlns:a16="http://schemas.microsoft.com/office/drawing/2014/main" id="{F4271CDA-9729-4003-985B-578B62D1B892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21" name="Line 59512">
          <a:extLst>
            <a:ext uri="{FF2B5EF4-FFF2-40B4-BE49-F238E27FC236}">
              <a16:creationId xmlns="" xmlns:a16="http://schemas.microsoft.com/office/drawing/2014/main" id="{F69570EE-52DA-42A6-AB5A-E5F33C86A878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22" name="Line 59513">
          <a:extLst>
            <a:ext uri="{FF2B5EF4-FFF2-40B4-BE49-F238E27FC236}">
              <a16:creationId xmlns="" xmlns:a16="http://schemas.microsoft.com/office/drawing/2014/main" id="{D2D4AA40-41BD-4127-AA34-31DA4563ECA8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23" name="Line 59402">
          <a:extLst>
            <a:ext uri="{FF2B5EF4-FFF2-40B4-BE49-F238E27FC236}">
              <a16:creationId xmlns="" xmlns:a16="http://schemas.microsoft.com/office/drawing/2014/main" id="{5D73F353-BB4D-40C8-8C19-5D560AEE532A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224" name="Line 59403">
          <a:extLst>
            <a:ext uri="{FF2B5EF4-FFF2-40B4-BE49-F238E27FC236}">
              <a16:creationId xmlns="" xmlns:a16="http://schemas.microsoft.com/office/drawing/2014/main" id="{72B70D4C-C12E-42C3-978D-13BF4F38854D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25" name="Line 59422">
          <a:extLst>
            <a:ext uri="{FF2B5EF4-FFF2-40B4-BE49-F238E27FC236}">
              <a16:creationId xmlns="" xmlns:a16="http://schemas.microsoft.com/office/drawing/2014/main" id="{12D08966-6B0B-4AB3-A99D-6D8B7FA9B62F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226" name="Line 59423">
          <a:extLst>
            <a:ext uri="{FF2B5EF4-FFF2-40B4-BE49-F238E27FC236}">
              <a16:creationId xmlns="" xmlns:a16="http://schemas.microsoft.com/office/drawing/2014/main" id="{AA70B763-4B51-479E-A0A1-129D9916662F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27" name="Line 59442">
          <a:extLst>
            <a:ext uri="{FF2B5EF4-FFF2-40B4-BE49-F238E27FC236}">
              <a16:creationId xmlns="" xmlns:a16="http://schemas.microsoft.com/office/drawing/2014/main" id="{61D242E4-B2A4-42F2-91DE-04618F9529B4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228" name="Line 59443">
          <a:extLst>
            <a:ext uri="{FF2B5EF4-FFF2-40B4-BE49-F238E27FC236}">
              <a16:creationId xmlns="" xmlns:a16="http://schemas.microsoft.com/office/drawing/2014/main" id="{C62520BF-D04F-460C-82B4-36ACCED9E8D5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29" name="Line 59462">
          <a:extLst>
            <a:ext uri="{FF2B5EF4-FFF2-40B4-BE49-F238E27FC236}">
              <a16:creationId xmlns="" xmlns:a16="http://schemas.microsoft.com/office/drawing/2014/main" id="{64CA94BA-2AEA-43AB-ADBB-D7BFDA7E6A61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230" name="Line 59463">
          <a:extLst>
            <a:ext uri="{FF2B5EF4-FFF2-40B4-BE49-F238E27FC236}">
              <a16:creationId xmlns="" xmlns:a16="http://schemas.microsoft.com/office/drawing/2014/main" id="{1293BCF1-B985-4365-BD97-C85AC82B5391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31" name="Line 59482">
          <a:extLst>
            <a:ext uri="{FF2B5EF4-FFF2-40B4-BE49-F238E27FC236}">
              <a16:creationId xmlns="" xmlns:a16="http://schemas.microsoft.com/office/drawing/2014/main" id="{8C7B539B-B135-4CDF-A9DB-480162B32CE1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232" name="Line 59483">
          <a:extLst>
            <a:ext uri="{FF2B5EF4-FFF2-40B4-BE49-F238E27FC236}">
              <a16:creationId xmlns="" xmlns:a16="http://schemas.microsoft.com/office/drawing/2014/main" id="{596C9ADB-1C95-4E54-8AD0-C41F52DC13DA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33" name="Line 59502">
          <a:extLst>
            <a:ext uri="{FF2B5EF4-FFF2-40B4-BE49-F238E27FC236}">
              <a16:creationId xmlns="" xmlns:a16="http://schemas.microsoft.com/office/drawing/2014/main" id="{BA2DF04A-CA63-40AD-BA47-9D77A8DBC1E2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5234" name="Line 59503">
          <a:extLst>
            <a:ext uri="{FF2B5EF4-FFF2-40B4-BE49-F238E27FC236}">
              <a16:creationId xmlns="" xmlns:a16="http://schemas.microsoft.com/office/drawing/2014/main" id="{7EEF785C-9623-40BD-990C-E57FF7F7146F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35" name="Line 59406">
          <a:extLst>
            <a:ext uri="{FF2B5EF4-FFF2-40B4-BE49-F238E27FC236}">
              <a16:creationId xmlns="" xmlns:a16="http://schemas.microsoft.com/office/drawing/2014/main" id="{A134D407-00AA-4BE3-8DA6-73B519698555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36" name="Line 59407">
          <a:extLst>
            <a:ext uri="{FF2B5EF4-FFF2-40B4-BE49-F238E27FC236}">
              <a16:creationId xmlns="" xmlns:a16="http://schemas.microsoft.com/office/drawing/2014/main" id="{D6BCFC01-1D8E-47DA-AEE0-5A44ECC33890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37" name="Line 59426">
          <a:extLst>
            <a:ext uri="{FF2B5EF4-FFF2-40B4-BE49-F238E27FC236}">
              <a16:creationId xmlns="" xmlns:a16="http://schemas.microsoft.com/office/drawing/2014/main" id="{E8F11128-3E8C-48B4-B0CD-9905D7B5EDAB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38" name="Line 59427">
          <a:extLst>
            <a:ext uri="{FF2B5EF4-FFF2-40B4-BE49-F238E27FC236}">
              <a16:creationId xmlns="" xmlns:a16="http://schemas.microsoft.com/office/drawing/2014/main" id="{E6E37A67-4407-4A93-A2D6-BB556603C7D9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39" name="Line 59446">
          <a:extLst>
            <a:ext uri="{FF2B5EF4-FFF2-40B4-BE49-F238E27FC236}">
              <a16:creationId xmlns="" xmlns:a16="http://schemas.microsoft.com/office/drawing/2014/main" id="{7D885406-B4AD-411A-A71A-0AE3DD256AE2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40" name="Line 59447">
          <a:extLst>
            <a:ext uri="{FF2B5EF4-FFF2-40B4-BE49-F238E27FC236}">
              <a16:creationId xmlns="" xmlns:a16="http://schemas.microsoft.com/office/drawing/2014/main" id="{85E1390E-8309-44BD-9858-9F8EA0D0F83F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41" name="Line 59466">
          <a:extLst>
            <a:ext uri="{FF2B5EF4-FFF2-40B4-BE49-F238E27FC236}">
              <a16:creationId xmlns="" xmlns:a16="http://schemas.microsoft.com/office/drawing/2014/main" id="{9F136970-7F40-4A9E-96C9-382FD8067B8B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42" name="Line 59467">
          <a:extLst>
            <a:ext uri="{FF2B5EF4-FFF2-40B4-BE49-F238E27FC236}">
              <a16:creationId xmlns="" xmlns:a16="http://schemas.microsoft.com/office/drawing/2014/main" id="{400B4681-69BA-478A-8D45-95F274627F3C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43" name="Line 59486">
          <a:extLst>
            <a:ext uri="{FF2B5EF4-FFF2-40B4-BE49-F238E27FC236}">
              <a16:creationId xmlns="" xmlns:a16="http://schemas.microsoft.com/office/drawing/2014/main" id="{D8CBB55E-6F1A-4F79-A4AF-5936F0325B04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44" name="Line 59487">
          <a:extLst>
            <a:ext uri="{FF2B5EF4-FFF2-40B4-BE49-F238E27FC236}">
              <a16:creationId xmlns="" xmlns:a16="http://schemas.microsoft.com/office/drawing/2014/main" id="{A34976BF-0DD4-41C3-87AD-E9ACCA093E0A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45" name="Line 59508">
          <a:extLst>
            <a:ext uri="{FF2B5EF4-FFF2-40B4-BE49-F238E27FC236}">
              <a16:creationId xmlns="" xmlns:a16="http://schemas.microsoft.com/office/drawing/2014/main" id="{5617A609-0D7F-400D-9BFE-90F09CADC2D6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5246" name="Line 59509">
          <a:extLst>
            <a:ext uri="{FF2B5EF4-FFF2-40B4-BE49-F238E27FC236}">
              <a16:creationId xmlns="" xmlns:a16="http://schemas.microsoft.com/office/drawing/2014/main" id="{2710F9C5-12B4-4515-9A43-1767040ADB5F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5247" name="Line 59510">
          <a:extLst>
            <a:ext uri="{FF2B5EF4-FFF2-40B4-BE49-F238E27FC236}">
              <a16:creationId xmlns="" xmlns:a16="http://schemas.microsoft.com/office/drawing/2014/main" id="{287CCF69-B9AF-49DA-BDF2-E1D8175928F3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032" name="Line 59511">
          <a:extLst>
            <a:ext uri="{FF2B5EF4-FFF2-40B4-BE49-F238E27FC236}">
              <a16:creationId xmlns="" xmlns:a16="http://schemas.microsoft.com/office/drawing/2014/main" id="{E882D0A4-DD52-4E0E-932D-0D6C523219D5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33" name="Line 59512">
          <a:extLst>
            <a:ext uri="{FF2B5EF4-FFF2-40B4-BE49-F238E27FC236}">
              <a16:creationId xmlns="" xmlns:a16="http://schemas.microsoft.com/office/drawing/2014/main" id="{5D9874C0-D181-4BB6-ABCC-80DF70E39B8F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034" name="Line 59513">
          <a:extLst>
            <a:ext uri="{FF2B5EF4-FFF2-40B4-BE49-F238E27FC236}">
              <a16:creationId xmlns="" xmlns:a16="http://schemas.microsoft.com/office/drawing/2014/main" id="{CF2A8D88-02F4-4AC9-A734-0DDF116509BB}"/>
            </a:ext>
          </a:extLst>
        </xdr:cNvPr>
        <xdr:cNvSpPr>
          <a:spLocks noChangeShapeType="1"/>
        </xdr:cNvSpPr>
      </xdr:nvSpPr>
      <xdr:spPr bwMode="auto">
        <a:xfrm>
          <a:off x="912813" y="20548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35" name="Line 59402">
          <a:extLst>
            <a:ext uri="{FF2B5EF4-FFF2-40B4-BE49-F238E27FC236}">
              <a16:creationId xmlns="" xmlns:a16="http://schemas.microsoft.com/office/drawing/2014/main" id="{CC5469E5-7A23-400D-B6C9-127458CBAFD6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036" name="Line 59403">
          <a:extLst>
            <a:ext uri="{FF2B5EF4-FFF2-40B4-BE49-F238E27FC236}">
              <a16:creationId xmlns="" xmlns:a16="http://schemas.microsoft.com/office/drawing/2014/main" id="{0C46181C-E4E1-4494-8030-49F5C91C778B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37" name="Line 59422">
          <a:extLst>
            <a:ext uri="{FF2B5EF4-FFF2-40B4-BE49-F238E27FC236}">
              <a16:creationId xmlns="" xmlns:a16="http://schemas.microsoft.com/office/drawing/2014/main" id="{7EB8815E-0EB2-4CB6-915A-627AD78C94EC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038" name="Line 59423">
          <a:extLst>
            <a:ext uri="{FF2B5EF4-FFF2-40B4-BE49-F238E27FC236}">
              <a16:creationId xmlns="" xmlns:a16="http://schemas.microsoft.com/office/drawing/2014/main" id="{9424570C-A6D6-4E47-A635-40794E2B0044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39" name="Line 59442">
          <a:extLst>
            <a:ext uri="{FF2B5EF4-FFF2-40B4-BE49-F238E27FC236}">
              <a16:creationId xmlns="" xmlns:a16="http://schemas.microsoft.com/office/drawing/2014/main" id="{75C6B623-39FA-4E11-AA47-EE876A3787A6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040" name="Line 59443">
          <a:extLst>
            <a:ext uri="{FF2B5EF4-FFF2-40B4-BE49-F238E27FC236}">
              <a16:creationId xmlns="" xmlns:a16="http://schemas.microsoft.com/office/drawing/2014/main" id="{1D1A076F-6101-4C3D-8162-993E96F5CE2A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41" name="Line 59462">
          <a:extLst>
            <a:ext uri="{FF2B5EF4-FFF2-40B4-BE49-F238E27FC236}">
              <a16:creationId xmlns="" xmlns:a16="http://schemas.microsoft.com/office/drawing/2014/main" id="{B1CD36C4-0035-4C55-B1E5-9880B7842617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042" name="Line 59463">
          <a:extLst>
            <a:ext uri="{FF2B5EF4-FFF2-40B4-BE49-F238E27FC236}">
              <a16:creationId xmlns="" xmlns:a16="http://schemas.microsoft.com/office/drawing/2014/main" id="{680654B5-DA7E-455E-95FE-6AB9E351EC55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43" name="Line 59482">
          <a:extLst>
            <a:ext uri="{FF2B5EF4-FFF2-40B4-BE49-F238E27FC236}">
              <a16:creationId xmlns="" xmlns:a16="http://schemas.microsoft.com/office/drawing/2014/main" id="{425CFE98-8F01-4CC4-85A1-FBD6A1021190}"/>
            </a:ext>
          </a:extLst>
        </xdr:cNvPr>
        <xdr:cNvSpPr>
          <a:spLocks noChangeShapeType="1"/>
        </xdr:cNvSpPr>
      </xdr:nvSpPr>
      <xdr:spPr bwMode="auto">
        <a:xfrm>
          <a:off x="315913" y="20510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044" name="Line 59483">
          <a:extLst>
            <a:ext uri="{FF2B5EF4-FFF2-40B4-BE49-F238E27FC236}">
              <a16:creationId xmlns="" xmlns:a16="http://schemas.microsoft.com/office/drawing/2014/main" id="{57A7AA23-8319-422D-B7E2-F0746CAA4E0F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19050</xdr:rowOff>
    </xdr:from>
    <xdr:to>
      <xdr:col>5</xdr:col>
      <xdr:colOff>0</xdr:colOff>
      <xdr:row>98</xdr:row>
      <xdr:rowOff>266700</xdr:rowOff>
    </xdr:to>
    <xdr:sp macro="" textlink="">
      <xdr:nvSpPr>
        <xdr:cNvPr id="124047" name="Line 59503">
          <a:extLst>
            <a:ext uri="{FF2B5EF4-FFF2-40B4-BE49-F238E27FC236}">
              <a16:creationId xmlns="" xmlns:a16="http://schemas.microsoft.com/office/drawing/2014/main" id="{CD920F4E-AEBC-4168-90CE-BA11915C5B55}"/>
            </a:ext>
          </a:extLst>
        </xdr:cNvPr>
        <xdr:cNvSpPr>
          <a:spLocks noChangeShapeType="1"/>
        </xdr:cNvSpPr>
      </xdr:nvSpPr>
      <xdr:spPr bwMode="auto">
        <a:xfrm>
          <a:off x="912813" y="20529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48" name="Line 59406">
          <a:extLst>
            <a:ext uri="{FF2B5EF4-FFF2-40B4-BE49-F238E27FC236}">
              <a16:creationId xmlns="" xmlns:a16="http://schemas.microsoft.com/office/drawing/2014/main" id="{793E4E32-F92E-4A5A-AA90-64BED8A7CC3E}"/>
            </a:ext>
          </a:extLst>
        </xdr:cNvPr>
        <xdr:cNvSpPr>
          <a:spLocks noChangeShapeType="1"/>
        </xdr:cNvSpPr>
      </xdr:nvSpPr>
      <xdr:spPr bwMode="auto">
        <a:xfrm>
          <a:off x="315913" y="1293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051" name="Line 59407">
          <a:extLst>
            <a:ext uri="{FF2B5EF4-FFF2-40B4-BE49-F238E27FC236}">
              <a16:creationId xmlns="" xmlns:a16="http://schemas.microsoft.com/office/drawing/2014/main" id="{C6D65E95-5CBA-4D8B-A38A-A457CB5F2627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52" name="Line 59426">
          <a:extLst>
            <a:ext uri="{FF2B5EF4-FFF2-40B4-BE49-F238E27FC236}">
              <a16:creationId xmlns="" xmlns:a16="http://schemas.microsoft.com/office/drawing/2014/main" id="{7F99541A-AEBC-4D86-9DE0-3A453F90BA74}"/>
            </a:ext>
          </a:extLst>
        </xdr:cNvPr>
        <xdr:cNvSpPr>
          <a:spLocks noChangeShapeType="1"/>
        </xdr:cNvSpPr>
      </xdr:nvSpPr>
      <xdr:spPr bwMode="auto">
        <a:xfrm>
          <a:off x="315913" y="1293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055" name="Line 59427">
          <a:extLst>
            <a:ext uri="{FF2B5EF4-FFF2-40B4-BE49-F238E27FC236}">
              <a16:creationId xmlns="" xmlns:a16="http://schemas.microsoft.com/office/drawing/2014/main" id="{49443182-2FB9-4C67-B8E9-07DF0C10BCCF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56" name="Line 59446">
          <a:extLst>
            <a:ext uri="{FF2B5EF4-FFF2-40B4-BE49-F238E27FC236}">
              <a16:creationId xmlns="" xmlns:a16="http://schemas.microsoft.com/office/drawing/2014/main" id="{6C52D67C-EB88-4066-8452-86B208AC08B9}"/>
            </a:ext>
          </a:extLst>
        </xdr:cNvPr>
        <xdr:cNvSpPr>
          <a:spLocks noChangeShapeType="1"/>
        </xdr:cNvSpPr>
      </xdr:nvSpPr>
      <xdr:spPr bwMode="auto">
        <a:xfrm>
          <a:off x="315913" y="1293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059" name="Line 59447">
          <a:extLst>
            <a:ext uri="{FF2B5EF4-FFF2-40B4-BE49-F238E27FC236}">
              <a16:creationId xmlns="" xmlns:a16="http://schemas.microsoft.com/office/drawing/2014/main" id="{F24FB435-49FE-4533-AE6E-5FD47B73B5C2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60" name="Line 59466">
          <a:extLst>
            <a:ext uri="{FF2B5EF4-FFF2-40B4-BE49-F238E27FC236}">
              <a16:creationId xmlns="" xmlns:a16="http://schemas.microsoft.com/office/drawing/2014/main" id="{461FC034-BE59-4E8F-A3FE-95F388134AC0}"/>
            </a:ext>
          </a:extLst>
        </xdr:cNvPr>
        <xdr:cNvSpPr>
          <a:spLocks noChangeShapeType="1"/>
        </xdr:cNvSpPr>
      </xdr:nvSpPr>
      <xdr:spPr bwMode="auto">
        <a:xfrm>
          <a:off x="315913" y="1293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063" name="Line 59467">
          <a:extLst>
            <a:ext uri="{FF2B5EF4-FFF2-40B4-BE49-F238E27FC236}">
              <a16:creationId xmlns="" xmlns:a16="http://schemas.microsoft.com/office/drawing/2014/main" id="{9128ED2C-59D9-4005-A3CE-7F6AFE3429AC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64" name="Line 59486">
          <a:extLst>
            <a:ext uri="{FF2B5EF4-FFF2-40B4-BE49-F238E27FC236}">
              <a16:creationId xmlns="" xmlns:a16="http://schemas.microsoft.com/office/drawing/2014/main" id="{6DAB2040-E6CA-4443-A973-1ED7ACB3CC9C}"/>
            </a:ext>
          </a:extLst>
        </xdr:cNvPr>
        <xdr:cNvSpPr>
          <a:spLocks noChangeShapeType="1"/>
        </xdr:cNvSpPr>
      </xdr:nvSpPr>
      <xdr:spPr bwMode="auto">
        <a:xfrm>
          <a:off x="315913" y="1293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067" name="Line 59487">
          <a:extLst>
            <a:ext uri="{FF2B5EF4-FFF2-40B4-BE49-F238E27FC236}">
              <a16:creationId xmlns="" xmlns:a16="http://schemas.microsoft.com/office/drawing/2014/main" id="{3BD7DD25-5E0F-40FC-93A0-6E0CD4E0A57F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68" name="Line 59508">
          <a:extLst>
            <a:ext uri="{FF2B5EF4-FFF2-40B4-BE49-F238E27FC236}">
              <a16:creationId xmlns="" xmlns:a16="http://schemas.microsoft.com/office/drawing/2014/main" id="{04E6E111-62A1-46E1-B702-283BD74E6E86}"/>
            </a:ext>
          </a:extLst>
        </xdr:cNvPr>
        <xdr:cNvSpPr>
          <a:spLocks noChangeShapeType="1"/>
        </xdr:cNvSpPr>
      </xdr:nvSpPr>
      <xdr:spPr bwMode="auto">
        <a:xfrm>
          <a:off x="315913" y="1293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069" name="Line 59509">
          <a:extLst>
            <a:ext uri="{FF2B5EF4-FFF2-40B4-BE49-F238E27FC236}">
              <a16:creationId xmlns="" xmlns:a16="http://schemas.microsoft.com/office/drawing/2014/main" id="{8C5471A8-7E74-4505-8E96-5E6D081C93E3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70" name="Line 59510">
          <a:extLst>
            <a:ext uri="{FF2B5EF4-FFF2-40B4-BE49-F238E27FC236}">
              <a16:creationId xmlns="" xmlns:a16="http://schemas.microsoft.com/office/drawing/2014/main" id="{ECAFDEA1-4703-46F8-B7F7-F4E8F827DF74}"/>
            </a:ext>
          </a:extLst>
        </xdr:cNvPr>
        <xdr:cNvSpPr>
          <a:spLocks noChangeShapeType="1"/>
        </xdr:cNvSpPr>
      </xdr:nvSpPr>
      <xdr:spPr bwMode="auto">
        <a:xfrm>
          <a:off x="315913" y="1293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072" name="Line 59511">
          <a:extLst>
            <a:ext uri="{FF2B5EF4-FFF2-40B4-BE49-F238E27FC236}">
              <a16:creationId xmlns="" xmlns:a16="http://schemas.microsoft.com/office/drawing/2014/main" id="{B66C5DF4-3821-439A-85A0-CFCE184A5893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98</xdr:row>
      <xdr:rowOff>0</xdr:rowOff>
    </xdr:from>
    <xdr:to>
      <xdr:col>11</xdr:col>
      <xdr:colOff>25400</xdr:colOff>
      <xdr:row>98</xdr:row>
      <xdr:rowOff>0</xdr:rowOff>
    </xdr:to>
    <xdr:sp macro="" textlink="">
      <xdr:nvSpPr>
        <xdr:cNvPr id="124075" name="Line 59512">
          <a:extLst>
            <a:ext uri="{FF2B5EF4-FFF2-40B4-BE49-F238E27FC236}">
              <a16:creationId xmlns="" xmlns:a16="http://schemas.microsoft.com/office/drawing/2014/main" id="{8D22476D-3FA4-4550-A04D-684B1F1A2CEA}"/>
            </a:ext>
          </a:extLst>
        </xdr:cNvPr>
        <xdr:cNvSpPr>
          <a:spLocks noChangeShapeType="1"/>
        </xdr:cNvSpPr>
      </xdr:nvSpPr>
      <xdr:spPr bwMode="auto">
        <a:xfrm>
          <a:off x="315913" y="1293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38100</xdr:rowOff>
    </xdr:from>
    <xdr:to>
      <xdr:col>5</xdr:col>
      <xdr:colOff>0</xdr:colOff>
      <xdr:row>98</xdr:row>
      <xdr:rowOff>393700</xdr:rowOff>
    </xdr:to>
    <xdr:sp macro="" textlink="">
      <xdr:nvSpPr>
        <xdr:cNvPr id="124076" name="Line 59513">
          <a:extLst>
            <a:ext uri="{FF2B5EF4-FFF2-40B4-BE49-F238E27FC236}">
              <a16:creationId xmlns="" xmlns:a16="http://schemas.microsoft.com/office/drawing/2014/main" id="{298E629B-DAD3-4308-A672-645F06323EBE}"/>
            </a:ext>
          </a:extLst>
        </xdr:cNvPr>
        <xdr:cNvSpPr>
          <a:spLocks noChangeShapeType="1"/>
        </xdr:cNvSpPr>
      </xdr:nvSpPr>
      <xdr:spPr bwMode="auto">
        <a:xfrm>
          <a:off x="912813" y="129682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28" name="Line 59390">
          <a:extLst>
            <a:ext uri="{FF2B5EF4-FFF2-40B4-BE49-F238E27FC236}">
              <a16:creationId xmlns="" xmlns:a16="http://schemas.microsoft.com/office/drawing/2014/main" id="{C171DD17-C677-4742-9A1D-48F96A48E579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46" name="Line 59410">
          <a:extLst>
            <a:ext uri="{FF2B5EF4-FFF2-40B4-BE49-F238E27FC236}">
              <a16:creationId xmlns="" xmlns:a16="http://schemas.microsoft.com/office/drawing/2014/main" id="{71762E2C-A715-474E-8A8C-14EF89B8C55E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47" name="Line 59430">
          <a:extLst>
            <a:ext uri="{FF2B5EF4-FFF2-40B4-BE49-F238E27FC236}">
              <a16:creationId xmlns="" xmlns:a16="http://schemas.microsoft.com/office/drawing/2014/main" id="{C63AE185-1CDB-4544-9FF8-231E8E134727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48" name="Line 59450">
          <a:extLst>
            <a:ext uri="{FF2B5EF4-FFF2-40B4-BE49-F238E27FC236}">
              <a16:creationId xmlns="" xmlns:a16="http://schemas.microsoft.com/office/drawing/2014/main" id="{996DD002-18C6-472E-BEA1-7BC2F249577F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49" name="Line 59470">
          <a:extLst>
            <a:ext uri="{FF2B5EF4-FFF2-40B4-BE49-F238E27FC236}">
              <a16:creationId xmlns="" xmlns:a16="http://schemas.microsoft.com/office/drawing/2014/main" id="{8FBAC3A9-5ADF-4A1B-995B-64EEF151A3BB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50" name="Line 59490">
          <a:extLst>
            <a:ext uri="{FF2B5EF4-FFF2-40B4-BE49-F238E27FC236}">
              <a16:creationId xmlns="" xmlns:a16="http://schemas.microsoft.com/office/drawing/2014/main" id="{021BB92B-8549-4C11-8764-4D87E483FD3E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51" name="Line 59559">
          <a:extLst>
            <a:ext uri="{FF2B5EF4-FFF2-40B4-BE49-F238E27FC236}">
              <a16:creationId xmlns="" xmlns:a16="http://schemas.microsoft.com/office/drawing/2014/main" id="{337EEACC-A7B1-4328-8618-69731DE5F9D9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52" name="Line 59561">
          <a:extLst>
            <a:ext uri="{FF2B5EF4-FFF2-40B4-BE49-F238E27FC236}">
              <a16:creationId xmlns="" xmlns:a16="http://schemas.microsoft.com/office/drawing/2014/main" id="{3196A798-82D4-4FC9-84DF-CA47D201631F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53" name="Line 59563">
          <a:extLst>
            <a:ext uri="{FF2B5EF4-FFF2-40B4-BE49-F238E27FC236}">
              <a16:creationId xmlns="" xmlns:a16="http://schemas.microsoft.com/office/drawing/2014/main" id="{A71EE058-8C5E-45B0-B02A-C136B43D927F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54" name="Line 59565">
          <a:extLst>
            <a:ext uri="{FF2B5EF4-FFF2-40B4-BE49-F238E27FC236}">
              <a16:creationId xmlns="" xmlns:a16="http://schemas.microsoft.com/office/drawing/2014/main" id="{8398FE7C-9220-4BC0-A5B3-763453AA446F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55" name="Line 59567">
          <a:extLst>
            <a:ext uri="{FF2B5EF4-FFF2-40B4-BE49-F238E27FC236}">
              <a16:creationId xmlns="" xmlns:a16="http://schemas.microsoft.com/office/drawing/2014/main" id="{BFF9C106-6002-4BF9-95B4-5560782866EB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56" name="Line 59569">
          <a:extLst>
            <a:ext uri="{FF2B5EF4-FFF2-40B4-BE49-F238E27FC236}">
              <a16:creationId xmlns="" xmlns:a16="http://schemas.microsoft.com/office/drawing/2014/main" id="{93895676-5FFB-4694-AF77-1DE776A17808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57" name="Line 59571">
          <a:extLst>
            <a:ext uri="{FF2B5EF4-FFF2-40B4-BE49-F238E27FC236}">
              <a16:creationId xmlns="" xmlns:a16="http://schemas.microsoft.com/office/drawing/2014/main" id="{CF571B24-CB53-4FA1-9677-693F949123A9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58" name="Line 59573">
          <a:extLst>
            <a:ext uri="{FF2B5EF4-FFF2-40B4-BE49-F238E27FC236}">
              <a16:creationId xmlns="" xmlns:a16="http://schemas.microsoft.com/office/drawing/2014/main" id="{8DAB19A2-C040-4ACB-AA15-FD74A6C5C9BE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59" name="Line 59575">
          <a:extLst>
            <a:ext uri="{FF2B5EF4-FFF2-40B4-BE49-F238E27FC236}">
              <a16:creationId xmlns="" xmlns:a16="http://schemas.microsoft.com/office/drawing/2014/main" id="{EBF7C4B0-4DE7-4C08-8DD6-2388DFFB086A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60" name="Line 59577">
          <a:extLst>
            <a:ext uri="{FF2B5EF4-FFF2-40B4-BE49-F238E27FC236}">
              <a16:creationId xmlns="" xmlns:a16="http://schemas.microsoft.com/office/drawing/2014/main" id="{BB84093B-0977-4AF0-A150-21268BE050D4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61" name="Line 59579">
          <a:extLst>
            <a:ext uri="{FF2B5EF4-FFF2-40B4-BE49-F238E27FC236}">
              <a16:creationId xmlns="" xmlns:a16="http://schemas.microsoft.com/office/drawing/2014/main" id="{2C189DA1-ABFF-4E06-9CE2-09658A547F74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62" name="Line 59581">
          <a:extLst>
            <a:ext uri="{FF2B5EF4-FFF2-40B4-BE49-F238E27FC236}">
              <a16:creationId xmlns="" xmlns:a16="http://schemas.microsoft.com/office/drawing/2014/main" id="{8B43EA8E-E12F-4E62-B1C2-735B46C9D650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63" name="Line 59583">
          <a:extLst>
            <a:ext uri="{FF2B5EF4-FFF2-40B4-BE49-F238E27FC236}">
              <a16:creationId xmlns="" xmlns:a16="http://schemas.microsoft.com/office/drawing/2014/main" id="{9AAF3F92-70C3-480C-9B69-DA9ACF948FB0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64" name="Line 59585">
          <a:extLst>
            <a:ext uri="{FF2B5EF4-FFF2-40B4-BE49-F238E27FC236}">
              <a16:creationId xmlns="" xmlns:a16="http://schemas.microsoft.com/office/drawing/2014/main" id="{223DDEBD-6444-4D71-AD2F-99A8A4C2CDDA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65" name="Line 59587">
          <a:extLst>
            <a:ext uri="{FF2B5EF4-FFF2-40B4-BE49-F238E27FC236}">
              <a16:creationId xmlns="" xmlns:a16="http://schemas.microsoft.com/office/drawing/2014/main" id="{177F8BE8-1709-4040-B155-C88F91FDB542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44</xdr:row>
      <xdr:rowOff>0</xdr:rowOff>
    </xdr:from>
    <xdr:to>
      <xdr:col>11</xdr:col>
      <xdr:colOff>25400</xdr:colOff>
      <xdr:row>44</xdr:row>
      <xdr:rowOff>0</xdr:rowOff>
    </xdr:to>
    <xdr:sp macro="" textlink="">
      <xdr:nvSpPr>
        <xdr:cNvPr id="124166" name="Line 59589">
          <a:extLst>
            <a:ext uri="{FF2B5EF4-FFF2-40B4-BE49-F238E27FC236}">
              <a16:creationId xmlns="" xmlns:a16="http://schemas.microsoft.com/office/drawing/2014/main" id="{A9DBD33A-7942-4AF9-BA22-4D3C663E0F5A}"/>
            </a:ext>
          </a:extLst>
        </xdr:cNvPr>
        <xdr:cNvSpPr>
          <a:spLocks noChangeShapeType="1"/>
        </xdr:cNvSpPr>
      </xdr:nvSpPr>
      <xdr:spPr bwMode="auto">
        <a:xfrm>
          <a:off x="315913" y="8358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168" name="Line 59863">
          <a:extLst>
            <a:ext uri="{FF2B5EF4-FFF2-40B4-BE49-F238E27FC236}">
              <a16:creationId xmlns="" xmlns:a16="http://schemas.microsoft.com/office/drawing/2014/main" id="{F3FAD51D-1998-4E2D-BED4-EBF1A4C0ACE9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13" name="Line 59865">
          <a:extLst>
            <a:ext uri="{FF2B5EF4-FFF2-40B4-BE49-F238E27FC236}">
              <a16:creationId xmlns="" xmlns:a16="http://schemas.microsoft.com/office/drawing/2014/main" id="{858F4F64-DA7B-40B8-819F-B2B66EF172FE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14" name="Line 59871">
          <a:extLst>
            <a:ext uri="{FF2B5EF4-FFF2-40B4-BE49-F238E27FC236}">
              <a16:creationId xmlns="" xmlns:a16="http://schemas.microsoft.com/office/drawing/2014/main" id="{67B8E1AF-E078-4A9D-9D25-FDFDD4BA380C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15" name="Line 59883">
          <a:extLst>
            <a:ext uri="{FF2B5EF4-FFF2-40B4-BE49-F238E27FC236}">
              <a16:creationId xmlns="" xmlns:a16="http://schemas.microsoft.com/office/drawing/2014/main" id="{FD637BB4-8835-4F91-A9D6-FCD5B5049458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17" name="Line 59885">
          <a:extLst>
            <a:ext uri="{FF2B5EF4-FFF2-40B4-BE49-F238E27FC236}">
              <a16:creationId xmlns="" xmlns:a16="http://schemas.microsoft.com/office/drawing/2014/main" id="{D2DDC0E7-6433-4FAC-9875-2DE40D531D0D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18" name="Line 59891">
          <a:extLst>
            <a:ext uri="{FF2B5EF4-FFF2-40B4-BE49-F238E27FC236}">
              <a16:creationId xmlns="" xmlns:a16="http://schemas.microsoft.com/office/drawing/2014/main" id="{C1DB95F7-C776-4976-A38D-BE7F57DC09DD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19" name="Line 59903">
          <a:extLst>
            <a:ext uri="{FF2B5EF4-FFF2-40B4-BE49-F238E27FC236}">
              <a16:creationId xmlns="" xmlns:a16="http://schemas.microsoft.com/office/drawing/2014/main" id="{FE77BDA9-5535-4CE1-8C08-3F1BD91B7491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20" name="Line 59905">
          <a:extLst>
            <a:ext uri="{FF2B5EF4-FFF2-40B4-BE49-F238E27FC236}">
              <a16:creationId xmlns="" xmlns:a16="http://schemas.microsoft.com/office/drawing/2014/main" id="{BD5C55F4-D3AB-4995-989D-23C218D3C161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25" name="Line 59911">
          <a:extLst>
            <a:ext uri="{FF2B5EF4-FFF2-40B4-BE49-F238E27FC236}">
              <a16:creationId xmlns="" xmlns:a16="http://schemas.microsoft.com/office/drawing/2014/main" id="{33564612-C455-45D9-8FE4-1677438D463E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27" name="Line 59923">
          <a:extLst>
            <a:ext uri="{FF2B5EF4-FFF2-40B4-BE49-F238E27FC236}">
              <a16:creationId xmlns="" xmlns:a16="http://schemas.microsoft.com/office/drawing/2014/main" id="{9566B01A-7672-4ACC-ABF9-306C9BE86BD5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28" name="Line 59925">
          <a:extLst>
            <a:ext uri="{FF2B5EF4-FFF2-40B4-BE49-F238E27FC236}">
              <a16:creationId xmlns="" xmlns:a16="http://schemas.microsoft.com/office/drawing/2014/main" id="{0D21D0C7-FA74-47FA-BC50-AF11FC0FF022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29" name="Line 59931">
          <a:extLst>
            <a:ext uri="{FF2B5EF4-FFF2-40B4-BE49-F238E27FC236}">
              <a16:creationId xmlns="" xmlns:a16="http://schemas.microsoft.com/office/drawing/2014/main" id="{A33FEB1D-97B3-4CBF-8325-D5C109EC731E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30" name="Line 59943">
          <a:extLst>
            <a:ext uri="{FF2B5EF4-FFF2-40B4-BE49-F238E27FC236}">
              <a16:creationId xmlns="" xmlns:a16="http://schemas.microsoft.com/office/drawing/2014/main" id="{C18237B5-4DB1-4AFA-A357-2563CBFF512C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35" name="Line 59945">
          <a:extLst>
            <a:ext uri="{FF2B5EF4-FFF2-40B4-BE49-F238E27FC236}">
              <a16:creationId xmlns="" xmlns:a16="http://schemas.microsoft.com/office/drawing/2014/main" id="{8B78C28F-485B-4451-A5DF-400F4C43DFD4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37" name="Line 59951">
          <a:extLst>
            <a:ext uri="{FF2B5EF4-FFF2-40B4-BE49-F238E27FC236}">
              <a16:creationId xmlns="" xmlns:a16="http://schemas.microsoft.com/office/drawing/2014/main" id="{5F78E398-77C6-4792-9E24-E798813A009D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38" name="Line 59963">
          <a:extLst>
            <a:ext uri="{FF2B5EF4-FFF2-40B4-BE49-F238E27FC236}">
              <a16:creationId xmlns="" xmlns:a16="http://schemas.microsoft.com/office/drawing/2014/main" id="{8300E125-DCBD-4A88-8179-5B5D424B8A0A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39" name="Line 59965">
          <a:extLst>
            <a:ext uri="{FF2B5EF4-FFF2-40B4-BE49-F238E27FC236}">
              <a16:creationId xmlns="" xmlns:a16="http://schemas.microsoft.com/office/drawing/2014/main" id="{7667E5BD-7E00-42CB-97E0-5B777A4A4C4C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40" name="Line 59971">
          <a:extLst>
            <a:ext uri="{FF2B5EF4-FFF2-40B4-BE49-F238E27FC236}">
              <a16:creationId xmlns="" xmlns:a16="http://schemas.microsoft.com/office/drawing/2014/main" id="{81B366E0-5CE9-4C8B-A045-51E3AE7F323C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45" name="Line 59975">
          <a:extLst>
            <a:ext uri="{FF2B5EF4-FFF2-40B4-BE49-F238E27FC236}">
              <a16:creationId xmlns="" xmlns:a16="http://schemas.microsoft.com/office/drawing/2014/main" id="{6798EF84-AEF0-43FA-9F5C-AE2034DF99AF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47" name="Line 59987">
          <a:extLst>
            <a:ext uri="{FF2B5EF4-FFF2-40B4-BE49-F238E27FC236}">
              <a16:creationId xmlns="" xmlns:a16="http://schemas.microsoft.com/office/drawing/2014/main" id="{A374FDED-B561-41E8-86A1-B603FE2B4A0E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48" name="Line 59989">
          <a:extLst>
            <a:ext uri="{FF2B5EF4-FFF2-40B4-BE49-F238E27FC236}">
              <a16:creationId xmlns="" xmlns:a16="http://schemas.microsoft.com/office/drawing/2014/main" id="{A370DB6D-828B-4F60-8E17-8C36668286F8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49" name="Line 59995">
          <a:extLst>
            <a:ext uri="{FF2B5EF4-FFF2-40B4-BE49-F238E27FC236}">
              <a16:creationId xmlns="" xmlns:a16="http://schemas.microsoft.com/office/drawing/2014/main" id="{20A4FB25-6576-4F9C-A22F-85911967BF68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50" name="Line 60007">
          <a:extLst>
            <a:ext uri="{FF2B5EF4-FFF2-40B4-BE49-F238E27FC236}">
              <a16:creationId xmlns="" xmlns:a16="http://schemas.microsoft.com/office/drawing/2014/main" id="{2D6F5904-6802-41CE-95F0-019C7DF6DD9E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55" name="Line 60009">
          <a:extLst>
            <a:ext uri="{FF2B5EF4-FFF2-40B4-BE49-F238E27FC236}">
              <a16:creationId xmlns="" xmlns:a16="http://schemas.microsoft.com/office/drawing/2014/main" id="{28201B6C-71CE-4821-8BF1-7B3432C65C73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57" name="Line 60015">
          <a:extLst>
            <a:ext uri="{FF2B5EF4-FFF2-40B4-BE49-F238E27FC236}">
              <a16:creationId xmlns="" xmlns:a16="http://schemas.microsoft.com/office/drawing/2014/main" id="{11AFCA21-493E-4E47-BA30-7D86101DCE62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58" name="Line 60027">
          <a:extLst>
            <a:ext uri="{FF2B5EF4-FFF2-40B4-BE49-F238E27FC236}">
              <a16:creationId xmlns="" xmlns:a16="http://schemas.microsoft.com/office/drawing/2014/main" id="{7A419A25-EFDD-41ED-A2E7-4EEA9DF0A333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59" name="Line 60029">
          <a:extLst>
            <a:ext uri="{FF2B5EF4-FFF2-40B4-BE49-F238E27FC236}">
              <a16:creationId xmlns="" xmlns:a16="http://schemas.microsoft.com/office/drawing/2014/main" id="{08B6379E-C5D2-4784-B4A6-637A85E51D0D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60" name="Line 60035">
          <a:extLst>
            <a:ext uri="{FF2B5EF4-FFF2-40B4-BE49-F238E27FC236}">
              <a16:creationId xmlns="" xmlns:a16="http://schemas.microsoft.com/office/drawing/2014/main" id="{0CEDFA4D-A8D5-4935-BC01-35D1B9633351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65" name="Line 60047">
          <a:extLst>
            <a:ext uri="{FF2B5EF4-FFF2-40B4-BE49-F238E27FC236}">
              <a16:creationId xmlns="" xmlns:a16="http://schemas.microsoft.com/office/drawing/2014/main" id="{63E4E08A-7510-40DB-917F-2859A4807866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67" name="Line 60049">
          <a:extLst>
            <a:ext uri="{FF2B5EF4-FFF2-40B4-BE49-F238E27FC236}">
              <a16:creationId xmlns="" xmlns:a16="http://schemas.microsoft.com/office/drawing/2014/main" id="{745032C5-F184-4ABB-9968-580CE55ACD29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68" name="Line 60055">
          <a:extLst>
            <a:ext uri="{FF2B5EF4-FFF2-40B4-BE49-F238E27FC236}">
              <a16:creationId xmlns="" xmlns:a16="http://schemas.microsoft.com/office/drawing/2014/main" id="{A09607D4-4985-41BD-A8FC-D84B3BE5A576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69" name="Line 60067">
          <a:extLst>
            <a:ext uri="{FF2B5EF4-FFF2-40B4-BE49-F238E27FC236}">
              <a16:creationId xmlns="" xmlns:a16="http://schemas.microsoft.com/office/drawing/2014/main" id="{AE378458-0781-4450-84DC-B8E6B8B6BFED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70" name="Line 60069">
          <a:extLst>
            <a:ext uri="{FF2B5EF4-FFF2-40B4-BE49-F238E27FC236}">
              <a16:creationId xmlns="" xmlns:a16="http://schemas.microsoft.com/office/drawing/2014/main" id="{00B47CED-C570-4C64-B724-8FBEB6D96B14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76" name="Line 60075">
          <a:extLst>
            <a:ext uri="{FF2B5EF4-FFF2-40B4-BE49-F238E27FC236}">
              <a16:creationId xmlns="" xmlns:a16="http://schemas.microsoft.com/office/drawing/2014/main" id="{AE231B34-59F2-4813-AF34-68C42D70B251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78" name="Line 60087">
          <a:extLst>
            <a:ext uri="{FF2B5EF4-FFF2-40B4-BE49-F238E27FC236}">
              <a16:creationId xmlns="" xmlns:a16="http://schemas.microsoft.com/office/drawing/2014/main" id="{5E0D83C7-2B73-4C7C-BAA3-0D0434151725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79" name="Line 60089">
          <a:extLst>
            <a:ext uri="{FF2B5EF4-FFF2-40B4-BE49-F238E27FC236}">
              <a16:creationId xmlns="" xmlns:a16="http://schemas.microsoft.com/office/drawing/2014/main" id="{9034F6EE-FA91-4607-81B3-AB476B85DD66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80" name="Line 60095">
          <a:extLst>
            <a:ext uri="{FF2B5EF4-FFF2-40B4-BE49-F238E27FC236}">
              <a16:creationId xmlns="" xmlns:a16="http://schemas.microsoft.com/office/drawing/2014/main" id="{5B39DC1E-8476-462E-9C8C-C6DAF74EAD88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81" name="Line 60099">
          <a:extLst>
            <a:ext uri="{FF2B5EF4-FFF2-40B4-BE49-F238E27FC236}">
              <a16:creationId xmlns="" xmlns:a16="http://schemas.microsoft.com/office/drawing/2014/main" id="{50031029-9D16-4A84-A622-53F6811E60A1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86" name="Line 60152">
          <a:extLst>
            <a:ext uri="{FF2B5EF4-FFF2-40B4-BE49-F238E27FC236}">
              <a16:creationId xmlns="" xmlns:a16="http://schemas.microsoft.com/office/drawing/2014/main" id="{7FACE706-E404-4259-B701-0DAAC7AB8846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88" name="Line 60154">
          <a:extLst>
            <a:ext uri="{FF2B5EF4-FFF2-40B4-BE49-F238E27FC236}">
              <a16:creationId xmlns="" xmlns:a16="http://schemas.microsoft.com/office/drawing/2014/main" id="{5BE6C36C-296F-455C-B963-772C26EF0412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89" name="Line 60156">
          <a:extLst>
            <a:ext uri="{FF2B5EF4-FFF2-40B4-BE49-F238E27FC236}">
              <a16:creationId xmlns="" xmlns:a16="http://schemas.microsoft.com/office/drawing/2014/main" id="{E385CB6C-4897-47C4-8A80-22D226167DC7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90" name="Line 60158">
          <a:extLst>
            <a:ext uri="{FF2B5EF4-FFF2-40B4-BE49-F238E27FC236}">
              <a16:creationId xmlns="" xmlns:a16="http://schemas.microsoft.com/office/drawing/2014/main" id="{691674A1-B3D8-42A4-8B16-3A53B820ED39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91" name="Line 60160">
          <a:extLst>
            <a:ext uri="{FF2B5EF4-FFF2-40B4-BE49-F238E27FC236}">
              <a16:creationId xmlns="" xmlns:a16="http://schemas.microsoft.com/office/drawing/2014/main" id="{F8D11F4F-0587-4265-A674-2E0A7A14D2DF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139700</xdr:colOff>
      <xdr:row>42</xdr:row>
      <xdr:rowOff>0</xdr:rowOff>
    </xdr:from>
    <xdr:to>
      <xdr:col>11</xdr:col>
      <xdr:colOff>38100</xdr:colOff>
      <xdr:row>42</xdr:row>
      <xdr:rowOff>0</xdr:rowOff>
    </xdr:to>
    <xdr:sp macro="" textlink="">
      <xdr:nvSpPr>
        <xdr:cNvPr id="124296" name="Line 60162">
          <a:extLst>
            <a:ext uri="{FF2B5EF4-FFF2-40B4-BE49-F238E27FC236}">
              <a16:creationId xmlns="" xmlns:a16="http://schemas.microsoft.com/office/drawing/2014/main" id="{9DA3F1B8-A54F-4B76-B4D9-9F0ECDE338A2}"/>
            </a:ext>
          </a:extLst>
        </xdr:cNvPr>
        <xdr:cNvSpPr>
          <a:spLocks noChangeShapeType="1"/>
        </xdr:cNvSpPr>
      </xdr:nvSpPr>
      <xdr:spPr bwMode="auto">
        <a:xfrm>
          <a:off x="322263" y="7850188"/>
          <a:ext cx="172402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98" name="Line 60164">
          <a:extLst>
            <a:ext uri="{FF2B5EF4-FFF2-40B4-BE49-F238E27FC236}">
              <a16:creationId xmlns="" xmlns:a16="http://schemas.microsoft.com/office/drawing/2014/main" id="{3D7FDDDE-52C8-4415-9BE7-14CCCCCA4B25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299" name="Line 60166">
          <a:extLst>
            <a:ext uri="{FF2B5EF4-FFF2-40B4-BE49-F238E27FC236}">
              <a16:creationId xmlns="" xmlns:a16="http://schemas.microsoft.com/office/drawing/2014/main" id="{F71FB6AC-8D5B-4B43-A3A2-C251765930E4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00" name="Line 60168">
          <a:extLst>
            <a:ext uri="{FF2B5EF4-FFF2-40B4-BE49-F238E27FC236}">
              <a16:creationId xmlns="" xmlns:a16="http://schemas.microsoft.com/office/drawing/2014/main" id="{807D8C8E-B4E0-43FE-977B-83257A1FD061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01" name="Line 60170">
          <a:extLst>
            <a:ext uri="{FF2B5EF4-FFF2-40B4-BE49-F238E27FC236}">
              <a16:creationId xmlns="" xmlns:a16="http://schemas.microsoft.com/office/drawing/2014/main" id="{DC63602D-6385-4E7D-80AB-7F0805582D0E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06" name="Line 60172">
          <a:extLst>
            <a:ext uri="{FF2B5EF4-FFF2-40B4-BE49-F238E27FC236}">
              <a16:creationId xmlns="" xmlns:a16="http://schemas.microsoft.com/office/drawing/2014/main" id="{9C922115-C3D4-4F54-A266-1B6B54F40295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08" name="Line 60174">
          <a:extLst>
            <a:ext uri="{FF2B5EF4-FFF2-40B4-BE49-F238E27FC236}">
              <a16:creationId xmlns="" xmlns:a16="http://schemas.microsoft.com/office/drawing/2014/main" id="{A9732A3D-84D5-40AC-859A-04B358D2949F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09" name="Line 60176">
          <a:extLst>
            <a:ext uri="{FF2B5EF4-FFF2-40B4-BE49-F238E27FC236}">
              <a16:creationId xmlns="" xmlns:a16="http://schemas.microsoft.com/office/drawing/2014/main" id="{4E4D6620-7848-42E9-AAC1-8F9AEE31649F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10" name="Line 60178">
          <a:extLst>
            <a:ext uri="{FF2B5EF4-FFF2-40B4-BE49-F238E27FC236}">
              <a16:creationId xmlns="" xmlns:a16="http://schemas.microsoft.com/office/drawing/2014/main" id="{EA40BB9A-9E85-4866-BE5D-49A19D711C78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11" name="Line 60180">
          <a:extLst>
            <a:ext uri="{FF2B5EF4-FFF2-40B4-BE49-F238E27FC236}">
              <a16:creationId xmlns="" xmlns:a16="http://schemas.microsoft.com/office/drawing/2014/main" id="{1444039B-6407-4064-8456-EBA8C0ECD9EF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16" name="Line 60182">
          <a:extLst>
            <a:ext uri="{FF2B5EF4-FFF2-40B4-BE49-F238E27FC236}">
              <a16:creationId xmlns="" xmlns:a16="http://schemas.microsoft.com/office/drawing/2014/main" id="{5867D1CA-BA9B-401B-80CC-E855D3EC4834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18" name="Line 60184">
          <a:extLst>
            <a:ext uri="{FF2B5EF4-FFF2-40B4-BE49-F238E27FC236}">
              <a16:creationId xmlns="" xmlns:a16="http://schemas.microsoft.com/office/drawing/2014/main" id="{9A46CB9C-DB90-4E87-8446-3AFE07E48FBE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19" name="Line 60186">
          <a:extLst>
            <a:ext uri="{FF2B5EF4-FFF2-40B4-BE49-F238E27FC236}">
              <a16:creationId xmlns="" xmlns:a16="http://schemas.microsoft.com/office/drawing/2014/main" id="{20E2DE2E-CC54-455F-A480-E7531A9EE3AF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20" name="Line 60188">
          <a:extLst>
            <a:ext uri="{FF2B5EF4-FFF2-40B4-BE49-F238E27FC236}">
              <a16:creationId xmlns="" xmlns:a16="http://schemas.microsoft.com/office/drawing/2014/main" id="{74BF499A-B91E-48EA-8D91-05165845AC20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21" name="Line 60235">
          <a:extLst>
            <a:ext uri="{FF2B5EF4-FFF2-40B4-BE49-F238E27FC236}">
              <a16:creationId xmlns="" xmlns:a16="http://schemas.microsoft.com/office/drawing/2014/main" id="{09DF575A-EDF2-40EB-A723-32A17F12517D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26" name="Line 60237">
          <a:extLst>
            <a:ext uri="{FF2B5EF4-FFF2-40B4-BE49-F238E27FC236}">
              <a16:creationId xmlns="" xmlns:a16="http://schemas.microsoft.com/office/drawing/2014/main" id="{2F80A9A3-692A-4CC9-B090-6E5B69E3CACC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28" name="Line 60239">
          <a:extLst>
            <a:ext uri="{FF2B5EF4-FFF2-40B4-BE49-F238E27FC236}">
              <a16:creationId xmlns="" xmlns:a16="http://schemas.microsoft.com/office/drawing/2014/main" id="{CF563F66-D3C8-4331-94F2-B9A557146434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29" name="Line 60241">
          <a:extLst>
            <a:ext uri="{FF2B5EF4-FFF2-40B4-BE49-F238E27FC236}">
              <a16:creationId xmlns="" xmlns:a16="http://schemas.microsoft.com/office/drawing/2014/main" id="{FC1A08A1-286C-41A5-9034-689E83C18D1F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30" name="Line 60243">
          <a:extLst>
            <a:ext uri="{FF2B5EF4-FFF2-40B4-BE49-F238E27FC236}">
              <a16:creationId xmlns="" xmlns:a16="http://schemas.microsoft.com/office/drawing/2014/main" id="{7C80B84E-002A-4CF1-879F-22E411034AC3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31" name="Line 60245">
          <a:extLst>
            <a:ext uri="{FF2B5EF4-FFF2-40B4-BE49-F238E27FC236}">
              <a16:creationId xmlns="" xmlns:a16="http://schemas.microsoft.com/office/drawing/2014/main" id="{DBB32C70-0A7B-46B9-9326-983F7B884EC2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37" name="Line 60247">
          <a:extLst>
            <a:ext uri="{FF2B5EF4-FFF2-40B4-BE49-F238E27FC236}">
              <a16:creationId xmlns="" xmlns:a16="http://schemas.microsoft.com/office/drawing/2014/main" id="{5DAEB88A-22A8-421A-A077-DF0CD7DCE606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38" name="Line 60249">
          <a:extLst>
            <a:ext uri="{FF2B5EF4-FFF2-40B4-BE49-F238E27FC236}">
              <a16:creationId xmlns="" xmlns:a16="http://schemas.microsoft.com/office/drawing/2014/main" id="{AA8C76D3-F702-4566-BEF3-6429C9838DA0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39" name="Line 60251">
          <a:extLst>
            <a:ext uri="{FF2B5EF4-FFF2-40B4-BE49-F238E27FC236}">
              <a16:creationId xmlns="" xmlns:a16="http://schemas.microsoft.com/office/drawing/2014/main" id="{721D29A4-E22C-4233-9B9D-963D558ABA70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40" name="Line 60253">
          <a:extLst>
            <a:ext uri="{FF2B5EF4-FFF2-40B4-BE49-F238E27FC236}">
              <a16:creationId xmlns="" xmlns:a16="http://schemas.microsoft.com/office/drawing/2014/main" id="{2E2ACF4C-217C-45F2-89BE-02F83B4D76D6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41" name="Line 60255">
          <a:extLst>
            <a:ext uri="{FF2B5EF4-FFF2-40B4-BE49-F238E27FC236}">
              <a16:creationId xmlns="" xmlns:a16="http://schemas.microsoft.com/office/drawing/2014/main" id="{7556ABD1-B9D5-4AC9-87AE-FE4A2D7B8D46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42" name="Line 60257">
          <a:extLst>
            <a:ext uri="{FF2B5EF4-FFF2-40B4-BE49-F238E27FC236}">
              <a16:creationId xmlns="" xmlns:a16="http://schemas.microsoft.com/office/drawing/2014/main" id="{7F0CB24E-FFD5-491C-8EA3-336DE1F71A65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139700</xdr:colOff>
      <xdr:row>42</xdr:row>
      <xdr:rowOff>0</xdr:rowOff>
    </xdr:from>
    <xdr:to>
      <xdr:col>11</xdr:col>
      <xdr:colOff>38100</xdr:colOff>
      <xdr:row>42</xdr:row>
      <xdr:rowOff>0</xdr:rowOff>
    </xdr:to>
    <xdr:sp macro="" textlink="">
      <xdr:nvSpPr>
        <xdr:cNvPr id="124343" name="Line 60259">
          <a:extLst>
            <a:ext uri="{FF2B5EF4-FFF2-40B4-BE49-F238E27FC236}">
              <a16:creationId xmlns="" xmlns:a16="http://schemas.microsoft.com/office/drawing/2014/main" id="{3D45A07B-39DF-49BD-8144-3284C1F0630F}"/>
            </a:ext>
          </a:extLst>
        </xdr:cNvPr>
        <xdr:cNvSpPr>
          <a:spLocks noChangeShapeType="1"/>
        </xdr:cNvSpPr>
      </xdr:nvSpPr>
      <xdr:spPr bwMode="auto">
        <a:xfrm>
          <a:off x="322263" y="7850188"/>
          <a:ext cx="172402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44" name="Line 60261">
          <a:extLst>
            <a:ext uri="{FF2B5EF4-FFF2-40B4-BE49-F238E27FC236}">
              <a16:creationId xmlns="" xmlns:a16="http://schemas.microsoft.com/office/drawing/2014/main" id="{546C442E-C121-405C-BA50-599D3D094B17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45" name="Line 60263">
          <a:extLst>
            <a:ext uri="{FF2B5EF4-FFF2-40B4-BE49-F238E27FC236}">
              <a16:creationId xmlns="" xmlns:a16="http://schemas.microsoft.com/office/drawing/2014/main" id="{1052ABE6-0C84-408D-A8AC-8ADB5330A68E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46" name="Line 60265">
          <a:extLst>
            <a:ext uri="{FF2B5EF4-FFF2-40B4-BE49-F238E27FC236}">
              <a16:creationId xmlns="" xmlns:a16="http://schemas.microsoft.com/office/drawing/2014/main" id="{7CF3E48A-5B93-404E-8327-C0D7371B0F00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47" name="Line 60267">
          <a:extLst>
            <a:ext uri="{FF2B5EF4-FFF2-40B4-BE49-F238E27FC236}">
              <a16:creationId xmlns="" xmlns:a16="http://schemas.microsoft.com/office/drawing/2014/main" id="{B37BBBDB-F8EE-47DB-9875-55DB04DF7937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48" name="Line 60269">
          <a:extLst>
            <a:ext uri="{FF2B5EF4-FFF2-40B4-BE49-F238E27FC236}">
              <a16:creationId xmlns="" xmlns:a16="http://schemas.microsoft.com/office/drawing/2014/main" id="{4718B67E-0919-4668-A8BF-5F796743A17F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49" name="Line 60271">
          <a:extLst>
            <a:ext uri="{FF2B5EF4-FFF2-40B4-BE49-F238E27FC236}">
              <a16:creationId xmlns="" xmlns:a16="http://schemas.microsoft.com/office/drawing/2014/main" id="{BFD0B59F-3A13-4B88-82B0-AE211EE7917A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50" name="Line 60273">
          <a:extLst>
            <a:ext uri="{FF2B5EF4-FFF2-40B4-BE49-F238E27FC236}">
              <a16:creationId xmlns="" xmlns:a16="http://schemas.microsoft.com/office/drawing/2014/main" id="{2655B719-F262-4322-9FB0-79FAB534167E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4351" name="Line 60275">
          <a:extLst>
            <a:ext uri="{FF2B5EF4-FFF2-40B4-BE49-F238E27FC236}">
              <a16:creationId xmlns="" xmlns:a16="http://schemas.microsoft.com/office/drawing/2014/main" id="{920647A5-43B8-4C2D-A7AD-DFB24CF912A9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5248" name="Line 60278">
          <a:extLst>
            <a:ext uri="{FF2B5EF4-FFF2-40B4-BE49-F238E27FC236}">
              <a16:creationId xmlns="" xmlns:a16="http://schemas.microsoft.com/office/drawing/2014/main" id="{4A3A965C-3B6D-4424-867C-6FF3BCFBF46A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42</xdr:row>
      <xdr:rowOff>0</xdr:rowOff>
    </xdr:from>
    <xdr:to>
      <xdr:col>11</xdr:col>
      <xdr:colOff>25400</xdr:colOff>
      <xdr:row>42</xdr:row>
      <xdr:rowOff>0</xdr:rowOff>
    </xdr:to>
    <xdr:sp macro="" textlink="">
      <xdr:nvSpPr>
        <xdr:cNvPr id="125249" name="Line 60280">
          <a:extLst>
            <a:ext uri="{FF2B5EF4-FFF2-40B4-BE49-F238E27FC236}">
              <a16:creationId xmlns="" xmlns:a16="http://schemas.microsoft.com/office/drawing/2014/main" id="{A6629269-B7D6-46F0-98A5-CC7304A9968B}"/>
            </a:ext>
          </a:extLst>
        </xdr:cNvPr>
        <xdr:cNvSpPr>
          <a:spLocks noChangeShapeType="1"/>
        </xdr:cNvSpPr>
      </xdr:nvSpPr>
      <xdr:spPr bwMode="auto">
        <a:xfrm>
          <a:off x="315913" y="78501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44450</xdr:colOff>
      <xdr:row>43</xdr:row>
      <xdr:rowOff>6350</xdr:rowOff>
    </xdr:from>
    <xdr:to>
      <xdr:col>10</xdr:col>
      <xdr:colOff>120650</xdr:colOff>
      <xdr:row>43</xdr:row>
      <xdr:rowOff>6350</xdr:rowOff>
    </xdr:to>
    <xdr:sp macro="" textlink="">
      <xdr:nvSpPr>
        <xdr:cNvPr id="125252" name="Line 60115">
          <a:extLst>
            <a:ext uri="{FF2B5EF4-FFF2-40B4-BE49-F238E27FC236}">
              <a16:creationId xmlns="" xmlns:a16="http://schemas.microsoft.com/office/drawing/2014/main" id="{65072B89-41FE-44D8-94BC-8FE48C5D7EA3}"/>
            </a:ext>
          </a:extLst>
        </xdr:cNvPr>
        <xdr:cNvSpPr>
          <a:spLocks noChangeShapeType="1"/>
        </xdr:cNvSpPr>
      </xdr:nvSpPr>
      <xdr:spPr bwMode="auto">
        <a:xfrm>
          <a:off x="227013" y="8110538"/>
          <a:ext cx="1719262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15639</xdr:colOff>
      <xdr:row>45</xdr:row>
      <xdr:rowOff>6350</xdr:rowOff>
    </xdr:from>
    <xdr:to>
      <xdr:col>11</xdr:col>
      <xdr:colOff>81202</xdr:colOff>
      <xdr:row>45</xdr:row>
      <xdr:rowOff>6350</xdr:rowOff>
    </xdr:to>
    <xdr:sp macro="" textlink="">
      <xdr:nvSpPr>
        <xdr:cNvPr id="125253" name="Line 60115">
          <a:extLst>
            <a:ext uri="{FF2B5EF4-FFF2-40B4-BE49-F238E27FC236}">
              <a16:creationId xmlns="" xmlns:a16="http://schemas.microsoft.com/office/drawing/2014/main" id="{D885BF07-E65B-4D60-8E41-426629A84100}"/>
            </a:ext>
          </a:extLst>
        </xdr:cNvPr>
        <xdr:cNvSpPr>
          <a:spLocks noChangeShapeType="1"/>
        </xdr:cNvSpPr>
      </xdr:nvSpPr>
      <xdr:spPr bwMode="auto">
        <a:xfrm>
          <a:off x="198202" y="11206163"/>
          <a:ext cx="1891188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31750</xdr:rowOff>
    </xdr:from>
    <xdr:to>
      <xdr:col>5</xdr:col>
      <xdr:colOff>0</xdr:colOff>
      <xdr:row>47</xdr:row>
      <xdr:rowOff>215900</xdr:rowOff>
    </xdr:to>
    <xdr:sp macro="" textlink="">
      <xdr:nvSpPr>
        <xdr:cNvPr id="125254" name="Line 59634">
          <a:extLst>
            <a:ext uri="{FF2B5EF4-FFF2-40B4-BE49-F238E27FC236}">
              <a16:creationId xmlns="" xmlns:a16="http://schemas.microsoft.com/office/drawing/2014/main" id="{65733484-82D5-4E5A-8336-1EC6C2E06A11}"/>
            </a:ext>
          </a:extLst>
        </xdr:cNvPr>
        <xdr:cNvSpPr>
          <a:spLocks noChangeShapeType="1"/>
        </xdr:cNvSpPr>
      </xdr:nvSpPr>
      <xdr:spPr bwMode="auto">
        <a:xfrm>
          <a:off x="912813" y="9136063"/>
          <a:ext cx="0" cy="1841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56" name="Line 59394">
          <a:extLst>
            <a:ext uri="{FF2B5EF4-FFF2-40B4-BE49-F238E27FC236}">
              <a16:creationId xmlns="" xmlns:a16="http://schemas.microsoft.com/office/drawing/2014/main" id="{1B005017-84C8-4ABA-80D6-8719A44F4981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57" name="Line 59395">
          <a:extLst>
            <a:ext uri="{FF2B5EF4-FFF2-40B4-BE49-F238E27FC236}">
              <a16:creationId xmlns="" xmlns:a16="http://schemas.microsoft.com/office/drawing/2014/main" id="{6582C997-F616-4AED-87A5-D7056FD7C946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58" name="Line 59414">
          <a:extLst>
            <a:ext uri="{FF2B5EF4-FFF2-40B4-BE49-F238E27FC236}">
              <a16:creationId xmlns="" xmlns:a16="http://schemas.microsoft.com/office/drawing/2014/main" id="{BD1EF216-E738-4E05-9A7A-E2ED23760526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59" name="Line 59415">
          <a:extLst>
            <a:ext uri="{FF2B5EF4-FFF2-40B4-BE49-F238E27FC236}">
              <a16:creationId xmlns="" xmlns:a16="http://schemas.microsoft.com/office/drawing/2014/main" id="{59C1A4B1-31EC-408D-9E95-79C7A57E0DE2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60" name="Line 59434">
          <a:extLst>
            <a:ext uri="{FF2B5EF4-FFF2-40B4-BE49-F238E27FC236}">
              <a16:creationId xmlns="" xmlns:a16="http://schemas.microsoft.com/office/drawing/2014/main" id="{7C33A78E-1F0C-4725-80DD-A3928EF39367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61" name="Line 59435">
          <a:extLst>
            <a:ext uri="{FF2B5EF4-FFF2-40B4-BE49-F238E27FC236}">
              <a16:creationId xmlns="" xmlns:a16="http://schemas.microsoft.com/office/drawing/2014/main" id="{E24F95CA-6E3B-45E4-B922-B3087C93A10C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62" name="Line 59454">
          <a:extLst>
            <a:ext uri="{FF2B5EF4-FFF2-40B4-BE49-F238E27FC236}">
              <a16:creationId xmlns="" xmlns:a16="http://schemas.microsoft.com/office/drawing/2014/main" id="{AE34C02E-DC15-496B-808A-157297BFA835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63" name="Line 59455">
          <a:extLst>
            <a:ext uri="{FF2B5EF4-FFF2-40B4-BE49-F238E27FC236}">
              <a16:creationId xmlns="" xmlns:a16="http://schemas.microsoft.com/office/drawing/2014/main" id="{FB2322D4-E2ED-4658-91AB-3174675FA4E7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64" name="Line 59474">
          <a:extLst>
            <a:ext uri="{FF2B5EF4-FFF2-40B4-BE49-F238E27FC236}">
              <a16:creationId xmlns="" xmlns:a16="http://schemas.microsoft.com/office/drawing/2014/main" id="{9DFB27B5-15F9-464C-A8B4-AD74401B6106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65" name="Line 59475">
          <a:extLst>
            <a:ext uri="{FF2B5EF4-FFF2-40B4-BE49-F238E27FC236}">
              <a16:creationId xmlns="" xmlns:a16="http://schemas.microsoft.com/office/drawing/2014/main" id="{39FC293F-58C6-4B6A-BD48-4CBEEB6FE1E0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66" name="Line 59494">
          <a:extLst>
            <a:ext uri="{FF2B5EF4-FFF2-40B4-BE49-F238E27FC236}">
              <a16:creationId xmlns="" xmlns:a16="http://schemas.microsoft.com/office/drawing/2014/main" id="{2558BFC7-A7E7-4FEC-B119-25ED2D8A8FB8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67" name="Line 59495">
          <a:extLst>
            <a:ext uri="{FF2B5EF4-FFF2-40B4-BE49-F238E27FC236}">
              <a16:creationId xmlns="" xmlns:a16="http://schemas.microsoft.com/office/drawing/2014/main" id="{E3BCA8B0-9A74-4E29-95C9-54C1F2761271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68" name="Line 59635">
          <a:extLst>
            <a:ext uri="{FF2B5EF4-FFF2-40B4-BE49-F238E27FC236}">
              <a16:creationId xmlns="" xmlns:a16="http://schemas.microsoft.com/office/drawing/2014/main" id="{5471EC00-D9AA-4BEA-B43D-20C78B0F0F65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69" name="Line 59636">
          <a:extLst>
            <a:ext uri="{FF2B5EF4-FFF2-40B4-BE49-F238E27FC236}">
              <a16:creationId xmlns="" xmlns:a16="http://schemas.microsoft.com/office/drawing/2014/main" id="{CA24708E-2442-4018-B13B-30DE8959380D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70" name="Line 59637">
          <a:extLst>
            <a:ext uri="{FF2B5EF4-FFF2-40B4-BE49-F238E27FC236}">
              <a16:creationId xmlns="" xmlns:a16="http://schemas.microsoft.com/office/drawing/2014/main" id="{A8A684D2-0177-4D2F-BCAC-7906A2D5D902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71" name="Line 59638">
          <a:extLst>
            <a:ext uri="{FF2B5EF4-FFF2-40B4-BE49-F238E27FC236}">
              <a16:creationId xmlns="" xmlns:a16="http://schemas.microsoft.com/office/drawing/2014/main" id="{781CAEF3-BF18-43DA-BA02-B88AF36AA827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72" name="Line 59639">
          <a:extLst>
            <a:ext uri="{FF2B5EF4-FFF2-40B4-BE49-F238E27FC236}">
              <a16:creationId xmlns="" xmlns:a16="http://schemas.microsoft.com/office/drawing/2014/main" id="{F11DF40C-9F35-4A4A-A151-8C3FC27DAB59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73" name="Line 59640">
          <a:extLst>
            <a:ext uri="{FF2B5EF4-FFF2-40B4-BE49-F238E27FC236}">
              <a16:creationId xmlns="" xmlns:a16="http://schemas.microsoft.com/office/drawing/2014/main" id="{9A35D0CB-A262-43FD-A0BB-B178E5A5A590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74" name="Line 59641">
          <a:extLst>
            <a:ext uri="{FF2B5EF4-FFF2-40B4-BE49-F238E27FC236}">
              <a16:creationId xmlns="" xmlns:a16="http://schemas.microsoft.com/office/drawing/2014/main" id="{ED8F8086-33B7-4068-8558-9665CE685B2B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75" name="Line 59642">
          <a:extLst>
            <a:ext uri="{FF2B5EF4-FFF2-40B4-BE49-F238E27FC236}">
              <a16:creationId xmlns="" xmlns:a16="http://schemas.microsoft.com/office/drawing/2014/main" id="{822ACBC1-EBB4-4195-A334-42DFAABB179B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76" name="Line 59643">
          <a:extLst>
            <a:ext uri="{FF2B5EF4-FFF2-40B4-BE49-F238E27FC236}">
              <a16:creationId xmlns="" xmlns:a16="http://schemas.microsoft.com/office/drawing/2014/main" id="{E867A2D3-9D86-4BF5-85E8-2EE203396511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77" name="Line 59644">
          <a:extLst>
            <a:ext uri="{FF2B5EF4-FFF2-40B4-BE49-F238E27FC236}">
              <a16:creationId xmlns="" xmlns:a16="http://schemas.microsoft.com/office/drawing/2014/main" id="{83791FF3-0806-48D9-AC7E-EA15565DCAAC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78" name="Line 59645">
          <a:extLst>
            <a:ext uri="{FF2B5EF4-FFF2-40B4-BE49-F238E27FC236}">
              <a16:creationId xmlns="" xmlns:a16="http://schemas.microsoft.com/office/drawing/2014/main" id="{7D2EE796-A49A-47E6-92F2-49715B0FC72C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79" name="Line 59646">
          <a:extLst>
            <a:ext uri="{FF2B5EF4-FFF2-40B4-BE49-F238E27FC236}">
              <a16:creationId xmlns="" xmlns:a16="http://schemas.microsoft.com/office/drawing/2014/main" id="{5E1C57DD-7DFC-406A-9CD0-EE21E80C67B1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80" name="Line 59647">
          <a:extLst>
            <a:ext uri="{FF2B5EF4-FFF2-40B4-BE49-F238E27FC236}">
              <a16:creationId xmlns="" xmlns:a16="http://schemas.microsoft.com/office/drawing/2014/main" id="{354A6B02-20CF-4FB9-BD10-9D9AFF211323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81" name="Line 59648">
          <a:extLst>
            <a:ext uri="{FF2B5EF4-FFF2-40B4-BE49-F238E27FC236}">
              <a16:creationId xmlns="" xmlns:a16="http://schemas.microsoft.com/office/drawing/2014/main" id="{6406279F-C6E6-4FA9-A5BD-F9CFB5CB9F8E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82" name="Line 59649">
          <a:extLst>
            <a:ext uri="{FF2B5EF4-FFF2-40B4-BE49-F238E27FC236}">
              <a16:creationId xmlns="" xmlns:a16="http://schemas.microsoft.com/office/drawing/2014/main" id="{82FC3C34-B590-44BD-90C0-E635BF4D79C1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83" name="Line 59650">
          <a:extLst>
            <a:ext uri="{FF2B5EF4-FFF2-40B4-BE49-F238E27FC236}">
              <a16:creationId xmlns="" xmlns:a16="http://schemas.microsoft.com/office/drawing/2014/main" id="{CBBBF957-4E55-4263-AD9C-6F89385C5EBB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84" name="Line 59651">
          <a:extLst>
            <a:ext uri="{FF2B5EF4-FFF2-40B4-BE49-F238E27FC236}">
              <a16:creationId xmlns="" xmlns:a16="http://schemas.microsoft.com/office/drawing/2014/main" id="{5D609FFF-57BF-4DE5-A2E9-50798F9E28EB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85" name="Line 59652">
          <a:extLst>
            <a:ext uri="{FF2B5EF4-FFF2-40B4-BE49-F238E27FC236}">
              <a16:creationId xmlns="" xmlns:a16="http://schemas.microsoft.com/office/drawing/2014/main" id="{3F8DADBF-9389-430F-9AA0-6045AA1F5254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86" name="Line 59653">
          <a:extLst>
            <a:ext uri="{FF2B5EF4-FFF2-40B4-BE49-F238E27FC236}">
              <a16:creationId xmlns="" xmlns:a16="http://schemas.microsoft.com/office/drawing/2014/main" id="{72B1AAC8-D0D4-4C66-8708-7DE1563C6CA1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87" name="Line 59654">
          <a:extLst>
            <a:ext uri="{FF2B5EF4-FFF2-40B4-BE49-F238E27FC236}">
              <a16:creationId xmlns="" xmlns:a16="http://schemas.microsoft.com/office/drawing/2014/main" id="{C57AEB19-BDF3-4DF9-B8F8-8F14647B6754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88" name="Line 59655">
          <a:extLst>
            <a:ext uri="{FF2B5EF4-FFF2-40B4-BE49-F238E27FC236}">
              <a16:creationId xmlns="" xmlns:a16="http://schemas.microsoft.com/office/drawing/2014/main" id="{2413D089-2876-43E5-A4D8-546613DADA6C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89" name="Line 59656">
          <a:extLst>
            <a:ext uri="{FF2B5EF4-FFF2-40B4-BE49-F238E27FC236}">
              <a16:creationId xmlns="" xmlns:a16="http://schemas.microsoft.com/office/drawing/2014/main" id="{6CE14B4B-6FB2-48D1-9D71-BA08C95976B3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90" name="Line 59657">
          <a:extLst>
            <a:ext uri="{FF2B5EF4-FFF2-40B4-BE49-F238E27FC236}">
              <a16:creationId xmlns="" xmlns:a16="http://schemas.microsoft.com/office/drawing/2014/main" id="{B477389A-E296-459C-9B0B-03B36513845E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91" name="Line 59658">
          <a:extLst>
            <a:ext uri="{FF2B5EF4-FFF2-40B4-BE49-F238E27FC236}">
              <a16:creationId xmlns="" xmlns:a16="http://schemas.microsoft.com/office/drawing/2014/main" id="{D6168DF1-1B9A-4FE2-962F-5295072B8325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92" name="Line 59659">
          <a:extLst>
            <a:ext uri="{FF2B5EF4-FFF2-40B4-BE49-F238E27FC236}">
              <a16:creationId xmlns="" xmlns:a16="http://schemas.microsoft.com/office/drawing/2014/main" id="{01654CFA-5C28-41AD-A6DA-EEC662A7DDE0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93" name="Line 59660">
          <a:extLst>
            <a:ext uri="{FF2B5EF4-FFF2-40B4-BE49-F238E27FC236}">
              <a16:creationId xmlns="" xmlns:a16="http://schemas.microsoft.com/office/drawing/2014/main" id="{50FCC558-76B2-4347-BF5B-33E290D05FD9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94" name="Line 59661">
          <a:extLst>
            <a:ext uri="{FF2B5EF4-FFF2-40B4-BE49-F238E27FC236}">
              <a16:creationId xmlns="" xmlns:a16="http://schemas.microsoft.com/office/drawing/2014/main" id="{8E785AAB-4F46-465E-A15B-2E490C98F057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95" name="Line 59662">
          <a:extLst>
            <a:ext uri="{FF2B5EF4-FFF2-40B4-BE49-F238E27FC236}">
              <a16:creationId xmlns="" xmlns:a16="http://schemas.microsoft.com/office/drawing/2014/main" id="{A4BF68C3-034B-4877-B6C2-97BF41F15F5D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96" name="Line 59663">
          <a:extLst>
            <a:ext uri="{FF2B5EF4-FFF2-40B4-BE49-F238E27FC236}">
              <a16:creationId xmlns="" xmlns:a16="http://schemas.microsoft.com/office/drawing/2014/main" id="{53EBE608-26CA-42E5-A890-8253A0E4A56B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97" name="Line 59664">
          <a:extLst>
            <a:ext uri="{FF2B5EF4-FFF2-40B4-BE49-F238E27FC236}">
              <a16:creationId xmlns="" xmlns:a16="http://schemas.microsoft.com/office/drawing/2014/main" id="{578DEB64-DF97-4101-9D44-03693E66D605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298" name="Line 59665">
          <a:extLst>
            <a:ext uri="{FF2B5EF4-FFF2-40B4-BE49-F238E27FC236}">
              <a16:creationId xmlns="" xmlns:a16="http://schemas.microsoft.com/office/drawing/2014/main" id="{47D4FF05-5A01-4E2A-A8B6-595F65A9F683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299" name="Line 59666">
          <a:extLst>
            <a:ext uri="{FF2B5EF4-FFF2-40B4-BE49-F238E27FC236}">
              <a16:creationId xmlns="" xmlns:a16="http://schemas.microsoft.com/office/drawing/2014/main" id="{1344959A-E75A-403C-8EC1-AB45C3A95B76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300" name="Line 59667">
          <a:extLst>
            <a:ext uri="{FF2B5EF4-FFF2-40B4-BE49-F238E27FC236}">
              <a16:creationId xmlns="" xmlns:a16="http://schemas.microsoft.com/office/drawing/2014/main" id="{430C647E-6820-4CDF-9944-D30CD7272633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301" name="Line 59668">
          <a:extLst>
            <a:ext uri="{FF2B5EF4-FFF2-40B4-BE49-F238E27FC236}">
              <a16:creationId xmlns="" xmlns:a16="http://schemas.microsoft.com/office/drawing/2014/main" id="{C9C13583-F0D7-4EC5-9287-04B063C86DA8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302" name="Line 59669">
          <a:extLst>
            <a:ext uri="{FF2B5EF4-FFF2-40B4-BE49-F238E27FC236}">
              <a16:creationId xmlns="" xmlns:a16="http://schemas.microsoft.com/office/drawing/2014/main" id="{64444583-FD9A-4E4B-AA68-73E5F621BE50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303" name="Line 59670">
          <a:extLst>
            <a:ext uri="{FF2B5EF4-FFF2-40B4-BE49-F238E27FC236}">
              <a16:creationId xmlns="" xmlns:a16="http://schemas.microsoft.com/office/drawing/2014/main" id="{75B43393-988B-49F4-8079-0B0E5CBECC5C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304" name="Line 59671">
          <a:extLst>
            <a:ext uri="{FF2B5EF4-FFF2-40B4-BE49-F238E27FC236}">
              <a16:creationId xmlns="" xmlns:a16="http://schemas.microsoft.com/office/drawing/2014/main" id="{1EA823DD-AD00-407E-A0FA-3EFC8B135AD2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305" name="Line 59672">
          <a:extLst>
            <a:ext uri="{FF2B5EF4-FFF2-40B4-BE49-F238E27FC236}">
              <a16:creationId xmlns="" xmlns:a16="http://schemas.microsoft.com/office/drawing/2014/main" id="{FBB62AEB-A428-4145-85C0-466D43E14BF0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306" name="Line 59673">
          <a:extLst>
            <a:ext uri="{FF2B5EF4-FFF2-40B4-BE49-F238E27FC236}">
              <a16:creationId xmlns="" xmlns:a16="http://schemas.microsoft.com/office/drawing/2014/main" id="{E317F3C4-A167-41F0-8553-8606F8C079FB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307" name="Line 59674">
          <a:extLst>
            <a:ext uri="{FF2B5EF4-FFF2-40B4-BE49-F238E27FC236}">
              <a16:creationId xmlns="" xmlns:a16="http://schemas.microsoft.com/office/drawing/2014/main" id="{1214E534-F01B-4B79-B07A-A75C835C9A18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308" name="Line 59675">
          <a:extLst>
            <a:ext uri="{FF2B5EF4-FFF2-40B4-BE49-F238E27FC236}">
              <a16:creationId xmlns="" xmlns:a16="http://schemas.microsoft.com/office/drawing/2014/main" id="{B218409E-FBC1-458B-9DCA-5B6DFD7CE8C4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309" name="Line 59676">
          <a:extLst>
            <a:ext uri="{FF2B5EF4-FFF2-40B4-BE49-F238E27FC236}">
              <a16:creationId xmlns="" xmlns:a16="http://schemas.microsoft.com/office/drawing/2014/main" id="{FDCCB11D-C9E2-4F5D-9A81-AA3D72E3A9F7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94</xdr:row>
      <xdr:rowOff>0</xdr:rowOff>
    </xdr:from>
    <xdr:to>
      <xdr:col>11</xdr:col>
      <xdr:colOff>25400</xdr:colOff>
      <xdr:row>94</xdr:row>
      <xdr:rowOff>0</xdr:rowOff>
    </xdr:to>
    <xdr:sp macro="" textlink="">
      <xdr:nvSpPr>
        <xdr:cNvPr id="125310" name="Line 59677">
          <a:extLst>
            <a:ext uri="{FF2B5EF4-FFF2-40B4-BE49-F238E27FC236}">
              <a16:creationId xmlns="" xmlns:a16="http://schemas.microsoft.com/office/drawing/2014/main" id="{D27EDD08-CA83-49E4-8AA3-4E190DEFF92B}"/>
            </a:ext>
          </a:extLst>
        </xdr:cNvPr>
        <xdr:cNvSpPr>
          <a:spLocks noChangeShapeType="1"/>
        </xdr:cNvSpPr>
      </xdr:nvSpPr>
      <xdr:spPr bwMode="auto">
        <a:xfrm>
          <a:off x="315913" y="16597313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31750</xdr:rowOff>
    </xdr:from>
    <xdr:to>
      <xdr:col>5</xdr:col>
      <xdr:colOff>0</xdr:colOff>
      <xdr:row>94</xdr:row>
      <xdr:rowOff>298450</xdr:rowOff>
    </xdr:to>
    <xdr:sp macro="" textlink="">
      <xdr:nvSpPr>
        <xdr:cNvPr id="125311" name="Line 59678">
          <a:extLst>
            <a:ext uri="{FF2B5EF4-FFF2-40B4-BE49-F238E27FC236}">
              <a16:creationId xmlns="" xmlns:a16="http://schemas.microsoft.com/office/drawing/2014/main" id="{0FD73D56-A7E6-4B78-AD9C-0687D5349243}"/>
            </a:ext>
          </a:extLst>
        </xdr:cNvPr>
        <xdr:cNvSpPr>
          <a:spLocks noChangeShapeType="1"/>
        </xdr:cNvSpPr>
      </xdr:nvSpPr>
      <xdr:spPr bwMode="auto">
        <a:xfrm>
          <a:off x="912813" y="16629063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38100</xdr:rowOff>
    </xdr:from>
    <xdr:to>
      <xdr:col>5</xdr:col>
      <xdr:colOff>0</xdr:colOff>
      <xdr:row>94</xdr:row>
      <xdr:rowOff>393700</xdr:rowOff>
    </xdr:to>
    <xdr:sp macro="" textlink="">
      <xdr:nvSpPr>
        <xdr:cNvPr id="125312" name="Line 59407">
          <a:extLst>
            <a:ext uri="{FF2B5EF4-FFF2-40B4-BE49-F238E27FC236}">
              <a16:creationId xmlns="" xmlns:a16="http://schemas.microsoft.com/office/drawing/2014/main" id="{12ECD267-FE5E-473F-88D3-91C20CA032F8}"/>
            </a:ext>
          </a:extLst>
        </xdr:cNvPr>
        <xdr:cNvSpPr>
          <a:spLocks noChangeShapeType="1"/>
        </xdr:cNvSpPr>
      </xdr:nvSpPr>
      <xdr:spPr bwMode="auto">
        <a:xfrm>
          <a:off x="912813" y="16635413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38100</xdr:rowOff>
    </xdr:from>
    <xdr:to>
      <xdr:col>5</xdr:col>
      <xdr:colOff>0</xdr:colOff>
      <xdr:row>94</xdr:row>
      <xdr:rowOff>393700</xdr:rowOff>
    </xdr:to>
    <xdr:sp macro="" textlink="">
      <xdr:nvSpPr>
        <xdr:cNvPr id="125313" name="Line 59427">
          <a:extLst>
            <a:ext uri="{FF2B5EF4-FFF2-40B4-BE49-F238E27FC236}">
              <a16:creationId xmlns="" xmlns:a16="http://schemas.microsoft.com/office/drawing/2014/main" id="{191D0B1A-F6B0-4337-B4DD-30B663B9D6B8}"/>
            </a:ext>
          </a:extLst>
        </xdr:cNvPr>
        <xdr:cNvSpPr>
          <a:spLocks noChangeShapeType="1"/>
        </xdr:cNvSpPr>
      </xdr:nvSpPr>
      <xdr:spPr bwMode="auto">
        <a:xfrm>
          <a:off x="912813" y="16635413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38100</xdr:rowOff>
    </xdr:from>
    <xdr:to>
      <xdr:col>5</xdr:col>
      <xdr:colOff>0</xdr:colOff>
      <xdr:row>94</xdr:row>
      <xdr:rowOff>393700</xdr:rowOff>
    </xdr:to>
    <xdr:sp macro="" textlink="">
      <xdr:nvSpPr>
        <xdr:cNvPr id="125314" name="Line 59447">
          <a:extLst>
            <a:ext uri="{FF2B5EF4-FFF2-40B4-BE49-F238E27FC236}">
              <a16:creationId xmlns="" xmlns:a16="http://schemas.microsoft.com/office/drawing/2014/main" id="{B515A5FE-464B-4657-B344-3259E1423F14}"/>
            </a:ext>
          </a:extLst>
        </xdr:cNvPr>
        <xdr:cNvSpPr>
          <a:spLocks noChangeShapeType="1"/>
        </xdr:cNvSpPr>
      </xdr:nvSpPr>
      <xdr:spPr bwMode="auto">
        <a:xfrm>
          <a:off x="912813" y="16635413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38100</xdr:rowOff>
    </xdr:from>
    <xdr:to>
      <xdr:col>5</xdr:col>
      <xdr:colOff>0</xdr:colOff>
      <xdr:row>94</xdr:row>
      <xdr:rowOff>393700</xdr:rowOff>
    </xdr:to>
    <xdr:sp macro="" textlink="">
      <xdr:nvSpPr>
        <xdr:cNvPr id="125315" name="Line 59467">
          <a:extLst>
            <a:ext uri="{FF2B5EF4-FFF2-40B4-BE49-F238E27FC236}">
              <a16:creationId xmlns="" xmlns:a16="http://schemas.microsoft.com/office/drawing/2014/main" id="{909D8269-0F70-4D8B-A505-D3AC35F2B436}"/>
            </a:ext>
          </a:extLst>
        </xdr:cNvPr>
        <xdr:cNvSpPr>
          <a:spLocks noChangeShapeType="1"/>
        </xdr:cNvSpPr>
      </xdr:nvSpPr>
      <xdr:spPr bwMode="auto">
        <a:xfrm>
          <a:off x="912813" y="16635413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38100</xdr:rowOff>
    </xdr:from>
    <xdr:to>
      <xdr:col>5</xdr:col>
      <xdr:colOff>0</xdr:colOff>
      <xdr:row>94</xdr:row>
      <xdr:rowOff>393700</xdr:rowOff>
    </xdr:to>
    <xdr:sp macro="" textlink="">
      <xdr:nvSpPr>
        <xdr:cNvPr id="125316" name="Line 59487">
          <a:extLst>
            <a:ext uri="{FF2B5EF4-FFF2-40B4-BE49-F238E27FC236}">
              <a16:creationId xmlns="" xmlns:a16="http://schemas.microsoft.com/office/drawing/2014/main" id="{0DED126C-22DA-47FA-897C-EB03A252B8C2}"/>
            </a:ext>
          </a:extLst>
        </xdr:cNvPr>
        <xdr:cNvSpPr>
          <a:spLocks noChangeShapeType="1"/>
        </xdr:cNvSpPr>
      </xdr:nvSpPr>
      <xdr:spPr bwMode="auto">
        <a:xfrm>
          <a:off x="912813" y="16635413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38100</xdr:rowOff>
    </xdr:from>
    <xdr:to>
      <xdr:col>5</xdr:col>
      <xdr:colOff>0</xdr:colOff>
      <xdr:row>94</xdr:row>
      <xdr:rowOff>393700</xdr:rowOff>
    </xdr:to>
    <xdr:sp macro="" textlink="">
      <xdr:nvSpPr>
        <xdr:cNvPr id="125317" name="Line 59509">
          <a:extLst>
            <a:ext uri="{FF2B5EF4-FFF2-40B4-BE49-F238E27FC236}">
              <a16:creationId xmlns="" xmlns:a16="http://schemas.microsoft.com/office/drawing/2014/main" id="{FAC9C639-A846-41C0-ADE7-764E9B873DAB}"/>
            </a:ext>
          </a:extLst>
        </xdr:cNvPr>
        <xdr:cNvSpPr>
          <a:spLocks noChangeShapeType="1"/>
        </xdr:cNvSpPr>
      </xdr:nvSpPr>
      <xdr:spPr bwMode="auto">
        <a:xfrm>
          <a:off x="912813" y="16635413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38100</xdr:rowOff>
    </xdr:from>
    <xdr:to>
      <xdr:col>5</xdr:col>
      <xdr:colOff>0</xdr:colOff>
      <xdr:row>94</xdr:row>
      <xdr:rowOff>393700</xdr:rowOff>
    </xdr:to>
    <xdr:sp macro="" textlink="">
      <xdr:nvSpPr>
        <xdr:cNvPr id="125318" name="Line 59511">
          <a:extLst>
            <a:ext uri="{FF2B5EF4-FFF2-40B4-BE49-F238E27FC236}">
              <a16:creationId xmlns="" xmlns:a16="http://schemas.microsoft.com/office/drawing/2014/main" id="{935E6B5F-BC25-420E-8C8C-2F82DBB395BA}"/>
            </a:ext>
          </a:extLst>
        </xdr:cNvPr>
        <xdr:cNvSpPr>
          <a:spLocks noChangeShapeType="1"/>
        </xdr:cNvSpPr>
      </xdr:nvSpPr>
      <xdr:spPr bwMode="auto">
        <a:xfrm>
          <a:off x="912813" y="16635413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94</xdr:row>
      <xdr:rowOff>38100</xdr:rowOff>
    </xdr:from>
    <xdr:to>
      <xdr:col>5</xdr:col>
      <xdr:colOff>0</xdr:colOff>
      <xdr:row>94</xdr:row>
      <xdr:rowOff>393700</xdr:rowOff>
    </xdr:to>
    <xdr:sp macro="" textlink="">
      <xdr:nvSpPr>
        <xdr:cNvPr id="125319" name="Line 59513">
          <a:extLst>
            <a:ext uri="{FF2B5EF4-FFF2-40B4-BE49-F238E27FC236}">
              <a16:creationId xmlns="" xmlns:a16="http://schemas.microsoft.com/office/drawing/2014/main" id="{E7679BF8-8EF0-4E10-A567-955F0225C6C8}"/>
            </a:ext>
          </a:extLst>
        </xdr:cNvPr>
        <xdr:cNvSpPr>
          <a:spLocks noChangeShapeType="1"/>
        </xdr:cNvSpPr>
      </xdr:nvSpPr>
      <xdr:spPr bwMode="auto">
        <a:xfrm>
          <a:off x="912813" y="16635413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63496</xdr:colOff>
      <xdr:row>41</xdr:row>
      <xdr:rowOff>23812</xdr:rowOff>
    </xdr:from>
    <xdr:to>
      <xdr:col>10</xdr:col>
      <xdr:colOff>138109</xdr:colOff>
      <xdr:row>41</xdr:row>
      <xdr:rowOff>23812</xdr:rowOff>
    </xdr:to>
    <xdr:sp macro="" textlink="">
      <xdr:nvSpPr>
        <xdr:cNvPr id="125320" name="Line 59544">
          <a:extLst>
            <a:ext uri="{FF2B5EF4-FFF2-40B4-BE49-F238E27FC236}">
              <a16:creationId xmlns="" xmlns:a16="http://schemas.microsoft.com/office/drawing/2014/main" id="{9B7D0442-B3CA-4BFF-9986-CC4F485683AB}"/>
            </a:ext>
          </a:extLst>
        </xdr:cNvPr>
        <xdr:cNvSpPr>
          <a:spLocks noChangeShapeType="1"/>
        </xdr:cNvSpPr>
      </xdr:nvSpPr>
      <xdr:spPr bwMode="auto">
        <a:xfrm>
          <a:off x="246059" y="931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177800</xdr:colOff>
      <xdr:row>29</xdr:row>
      <xdr:rowOff>12700</xdr:rowOff>
    </xdr:from>
    <xdr:to>
      <xdr:col>4</xdr:col>
      <xdr:colOff>177800</xdr:colOff>
      <xdr:row>30</xdr:row>
      <xdr:rowOff>0</xdr:rowOff>
    </xdr:to>
    <xdr:sp macro="" textlink="">
      <xdr:nvSpPr>
        <xdr:cNvPr id="125321" name="Line 60234">
          <a:extLst>
            <a:ext uri="{FF2B5EF4-FFF2-40B4-BE49-F238E27FC236}">
              <a16:creationId xmlns="" xmlns:a16="http://schemas.microsoft.com/office/drawing/2014/main" id="{C3B30DA3-8A9C-4A85-8912-16B094331AF5}"/>
            </a:ext>
          </a:extLst>
        </xdr:cNvPr>
        <xdr:cNvSpPr>
          <a:spLocks noChangeShapeType="1"/>
        </xdr:cNvSpPr>
      </xdr:nvSpPr>
      <xdr:spPr bwMode="auto">
        <a:xfrm>
          <a:off x="908050" y="9799638"/>
          <a:ext cx="0" cy="161925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31750</xdr:colOff>
      <xdr:row>28</xdr:row>
      <xdr:rowOff>196850</xdr:rowOff>
    </xdr:from>
    <xdr:to>
      <xdr:col>10</xdr:col>
      <xdr:colOff>107950</xdr:colOff>
      <xdr:row>28</xdr:row>
      <xdr:rowOff>196850</xdr:rowOff>
    </xdr:to>
    <xdr:sp macro="" textlink="">
      <xdr:nvSpPr>
        <xdr:cNvPr id="125322" name="Line 60115">
          <a:extLst>
            <a:ext uri="{FF2B5EF4-FFF2-40B4-BE49-F238E27FC236}">
              <a16:creationId xmlns="" xmlns:a16="http://schemas.microsoft.com/office/drawing/2014/main" id="{A122D622-8A14-428D-A190-50516B47CCC6}"/>
            </a:ext>
          </a:extLst>
        </xdr:cNvPr>
        <xdr:cNvSpPr>
          <a:spLocks noChangeShapeType="1"/>
        </xdr:cNvSpPr>
      </xdr:nvSpPr>
      <xdr:spPr bwMode="auto">
        <a:xfrm>
          <a:off x="214313" y="9745663"/>
          <a:ext cx="1719262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43</xdr:row>
      <xdr:rowOff>31750</xdr:rowOff>
    </xdr:from>
    <xdr:to>
      <xdr:col>5</xdr:col>
      <xdr:colOff>0</xdr:colOff>
      <xdr:row>43</xdr:row>
      <xdr:rowOff>215900</xdr:rowOff>
    </xdr:to>
    <xdr:sp macro="" textlink="">
      <xdr:nvSpPr>
        <xdr:cNvPr id="125327" name="Line 59634">
          <a:extLst>
            <a:ext uri="{FF2B5EF4-FFF2-40B4-BE49-F238E27FC236}">
              <a16:creationId xmlns="" xmlns:a16="http://schemas.microsoft.com/office/drawing/2014/main" id="{BC911E0A-6AC2-4F7A-A1C9-95C937944778}"/>
            </a:ext>
          </a:extLst>
        </xdr:cNvPr>
        <xdr:cNvSpPr>
          <a:spLocks noChangeShapeType="1"/>
        </xdr:cNvSpPr>
      </xdr:nvSpPr>
      <xdr:spPr bwMode="auto">
        <a:xfrm>
          <a:off x="912813" y="11723688"/>
          <a:ext cx="0" cy="1841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63500</xdr:colOff>
      <xdr:row>43</xdr:row>
      <xdr:rowOff>6350</xdr:rowOff>
    </xdr:from>
    <xdr:to>
      <xdr:col>10</xdr:col>
      <xdr:colOff>139700</xdr:colOff>
      <xdr:row>43</xdr:row>
      <xdr:rowOff>6350</xdr:rowOff>
    </xdr:to>
    <xdr:sp macro="" textlink="">
      <xdr:nvSpPr>
        <xdr:cNvPr id="125328" name="Line 60115">
          <a:extLst>
            <a:ext uri="{FF2B5EF4-FFF2-40B4-BE49-F238E27FC236}">
              <a16:creationId xmlns="" xmlns:a16="http://schemas.microsoft.com/office/drawing/2014/main" id="{0F3F722C-3AFD-4558-A607-69D796862654}"/>
            </a:ext>
          </a:extLst>
        </xdr:cNvPr>
        <xdr:cNvSpPr>
          <a:spLocks noChangeShapeType="1"/>
        </xdr:cNvSpPr>
      </xdr:nvSpPr>
      <xdr:spPr bwMode="auto">
        <a:xfrm>
          <a:off x="246063" y="11698288"/>
          <a:ext cx="1719262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30" name="Line 59397">
          <a:extLst>
            <a:ext uri="{FF2B5EF4-FFF2-40B4-BE49-F238E27FC236}">
              <a16:creationId xmlns="" xmlns:a16="http://schemas.microsoft.com/office/drawing/2014/main" id="{0EF354DA-C570-49CB-93D0-50EF090BECD7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32" name="Line 59417">
          <a:extLst>
            <a:ext uri="{FF2B5EF4-FFF2-40B4-BE49-F238E27FC236}">
              <a16:creationId xmlns="" xmlns:a16="http://schemas.microsoft.com/office/drawing/2014/main" id="{CCFFB8EB-BD7D-4CE2-8F80-DFE4027D9AAB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34" name="Line 59437">
          <a:extLst>
            <a:ext uri="{FF2B5EF4-FFF2-40B4-BE49-F238E27FC236}">
              <a16:creationId xmlns="" xmlns:a16="http://schemas.microsoft.com/office/drawing/2014/main" id="{5936AEEB-C771-4E4C-902D-ECAF9F7A9308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36" name="Line 59457">
          <a:extLst>
            <a:ext uri="{FF2B5EF4-FFF2-40B4-BE49-F238E27FC236}">
              <a16:creationId xmlns="" xmlns:a16="http://schemas.microsoft.com/office/drawing/2014/main" id="{7CEBD3AE-EC6F-4297-A600-654DAEEBE23D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38" name="Line 59477">
          <a:extLst>
            <a:ext uri="{FF2B5EF4-FFF2-40B4-BE49-F238E27FC236}">
              <a16:creationId xmlns="" xmlns:a16="http://schemas.microsoft.com/office/drawing/2014/main" id="{C5310C57-E8CF-4002-B281-9A622F3C740F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40" name="Line 59497">
          <a:extLst>
            <a:ext uri="{FF2B5EF4-FFF2-40B4-BE49-F238E27FC236}">
              <a16:creationId xmlns="" xmlns:a16="http://schemas.microsoft.com/office/drawing/2014/main" id="{BDCE481F-4030-4883-A4F9-3AF923B016A3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42" name="Line 59680">
          <a:extLst>
            <a:ext uri="{FF2B5EF4-FFF2-40B4-BE49-F238E27FC236}">
              <a16:creationId xmlns="" xmlns:a16="http://schemas.microsoft.com/office/drawing/2014/main" id="{17AAEC01-A5CB-4B96-AAA5-FA7E7423B7FB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44" name="Line 59682">
          <a:extLst>
            <a:ext uri="{FF2B5EF4-FFF2-40B4-BE49-F238E27FC236}">
              <a16:creationId xmlns="" xmlns:a16="http://schemas.microsoft.com/office/drawing/2014/main" id="{9D8466A9-4D2B-49B6-8836-6A90F56921C2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46" name="Line 59684">
          <a:extLst>
            <a:ext uri="{FF2B5EF4-FFF2-40B4-BE49-F238E27FC236}">
              <a16:creationId xmlns="" xmlns:a16="http://schemas.microsoft.com/office/drawing/2014/main" id="{B4431145-17FE-4E20-8C2A-61B567ADB4B1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48" name="Line 59686">
          <a:extLst>
            <a:ext uri="{FF2B5EF4-FFF2-40B4-BE49-F238E27FC236}">
              <a16:creationId xmlns="" xmlns:a16="http://schemas.microsoft.com/office/drawing/2014/main" id="{E67BDFED-D6B5-4316-B651-B0A1B3CC5CF5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50" name="Line 59688">
          <a:extLst>
            <a:ext uri="{FF2B5EF4-FFF2-40B4-BE49-F238E27FC236}">
              <a16:creationId xmlns="" xmlns:a16="http://schemas.microsoft.com/office/drawing/2014/main" id="{CB333EE2-E187-4DED-A4CA-F04367A7CD59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52" name="Line 59690">
          <a:extLst>
            <a:ext uri="{FF2B5EF4-FFF2-40B4-BE49-F238E27FC236}">
              <a16:creationId xmlns="" xmlns:a16="http://schemas.microsoft.com/office/drawing/2014/main" id="{082EEC3B-748C-4625-BD08-9FC0036AF902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54" name="Line 59692">
          <a:extLst>
            <a:ext uri="{FF2B5EF4-FFF2-40B4-BE49-F238E27FC236}">
              <a16:creationId xmlns="" xmlns:a16="http://schemas.microsoft.com/office/drawing/2014/main" id="{C828A5B9-BD43-4C15-A0BE-E11E5C99B8DC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56" name="Line 59694">
          <a:extLst>
            <a:ext uri="{FF2B5EF4-FFF2-40B4-BE49-F238E27FC236}">
              <a16:creationId xmlns="" xmlns:a16="http://schemas.microsoft.com/office/drawing/2014/main" id="{FEBCE927-09CD-4BD7-A5CF-046C3153187F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58" name="Line 59696">
          <a:extLst>
            <a:ext uri="{FF2B5EF4-FFF2-40B4-BE49-F238E27FC236}">
              <a16:creationId xmlns="" xmlns:a16="http://schemas.microsoft.com/office/drawing/2014/main" id="{66D8EF11-A412-4765-A71C-87BC52A23EC7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60" name="Line 59698">
          <a:extLst>
            <a:ext uri="{FF2B5EF4-FFF2-40B4-BE49-F238E27FC236}">
              <a16:creationId xmlns="" xmlns:a16="http://schemas.microsoft.com/office/drawing/2014/main" id="{8CE98C5D-39D4-4B94-9FEB-51A3848C462F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62" name="Line 59700">
          <a:extLst>
            <a:ext uri="{FF2B5EF4-FFF2-40B4-BE49-F238E27FC236}">
              <a16:creationId xmlns="" xmlns:a16="http://schemas.microsoft.com/office/drawing/2014/main" id="{1E72F54E-F1AC-4334-BF6F-09A603A63EA8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64" name="Line 59702">
          <a:extLst>
            <a:ext uri="{FF2B5EF4-FFF2-40B4-BE49-F238E27FC236}">
              <a16:creationId xmlns="" xmlns:a16="http://schemas.microsoft.com/office/drawing/2014/main" id="{C0C00BF7-2768-4A20-993C-18BF999D59D4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66" name="Line 59704">
          <a:extLst>
            <a:ext uri="{FF2B5EF4-FFF2-40B4-BE49-F238E27FC236}">
              <a16:creationId xmlns="" xmlns:a16="http://schemas.microsoft.com/office/drawing/2014/main" id="{B7941B32-369E-4169-9805-646FC0649A3D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68" name="Line 59706">
          <a:extLst>
            <a:ext uri="{FF2B5EF4-FFF2-40B4-BE49-F238E27FC236}">
              <a16:creationId xmlns="" xmlns:a16="http://schemas.microsoft.com/office/drawing/2014/main" id="{BA209F58-FA8F-467E-8C0D-5EB4103EAA12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70" name="Line 59708">
          <a:extLst>
            <a:ext uri="{FF2B5EF4-FFF2-40B4-BE49-F238E27FC236}">
              <a16:creationId xmlns="" xmlns:a16="http://schemas.microsoft.com/office/drawing/2014/main" id="{F65A4558-3E7B-425B-96AF-1D5C3E37F368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72" name="Line 59710">
          <a:extLst>
            <a:ext uri="{FF2B5EF4-FFF2-40B4-BE49-F238E27FC236}">
              <a16:creationId xmlns="" xmlns:a16="http://schemas.microsoft.com/office/drawing/2014/main" id="{9BE0A832-2D1C-4A27-87E0-45503F04FD15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74" name="Line 59712">
          <a:extLst>
            <a:ext uri="{FF2B5EF4-FFF2-40B4-BE49-F238E27FC236}">
              <a16:creationId xmlns="" xmlns:a16="http://schemas.microsoft.com/office/drawing/2014/main" id="{4024B065-73F4-4503-9250-DA69227B2495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76" name="Line 59714">
          <a:extLst>
            <a:ext uri="{FF2B5EF4-FFF2-40B4-BE49-F238E27FC236}">
              <a16:creationId xmlns="" xmlns:a16="http://schemas.microsoft.com/office/drawing/2014/main" id="{E741A7A6-C413-45BD-A2EA-C7624F5FBB57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12700</xdr:rowOff>
    </xdr:from>
    <xdr:to>
      <xdr:col>5</xdr:col>
      <xdr:colOff>0</xdr:colOff>
      <xdr:row>45</xdr:row>
      <xdr:rowOff>152400</xdr:rowOff>
    </xdr:to>
    <xdr:sp macro="" textlink="">
      <xdr:nvSpPr>
        <xdr:cNvPr id="125378" name="Line 59716">
          <a:extLst>
            <a:ext uri="{FF2B5EF4-FFF2-40B4-BE49-F238E27FC236}">
              <a16:creationId xmlns="" xmlns:a16="http://schemas.microsoft.com/office/drawing/2014/main" id="{7208B12C-86B5-4AB0-8BE3-752FD96E61F9}"/>
            </a:ext>
          </a:extLst>
        </xdr:cNvPr>
        <xdr:cNvSpPr>
          <a:spLocks noChangeShapeType="1"/>
        </xdr:cNvSpPr>
      </xdr:nvSpPr>
      <xdr:spPr bwMode="auto">
        <a:xfrm>
          <a:off x="912813" y="12228513"/>
          <a:ext cx="0" cy="139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53343</xdr:rowOff>
    </xdr:from>
    <xdr:to>
      <xdr:col>5</xdr:col>
      <xdr:colOff>0</xdr:colOff>
      <xdr:row>45</xdr:row>
      <xdr:rowOff>207013</xdr:rowOff>
    </xdr:to>
    <xdr:sp macro="" textlink="">
      <xdr:nvSpPr>
        <xdr:cNvPr id="125380" name="Line 59718">
          <a:extLst>
            <a:ext uri="{FF2B5EF4-FFF2-40B4-BE49-F238E27FC236}">
              <a16:creationId xmlns="" xmlns:a16="http://schemas.microsoft.com/office/drawing/2014/main" id="{ED7294AB-6476-4C6C-869B-9E0F697424AE}"/>
            </a:ext>
          </a:extLst>
        </xdr:cNvPr>
        <xdr:cNvSpPr>
          <a:spLocks noChangeShapeType="1"/>
        </xdr:cNvSpPr>
      </xdr:nvSpPr>
      <xdr:spPr bwMode="auto">
        <a:xfrm>
          <a:off x="912813" y="11253156"/>
          <a:ext cx="0" cy="15367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386" name="Line 59399">
          <a:extLst>
            <a:ext uri="{FF2B5EF4-FFF2-40B4-BE49-F238E27FC236}">
              <a16:creationId xmlns="" xmlns:a16="http://schemas.microsoft.com/office/drawing/2014/main" id="{E49373AE-A476-425B-B7DD-03D463AA33ED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388" name="Line 59419">
          <a:extLst>
            <a:ext uri="{FF2B5EF4-FFF2-40B4-BE49-F238E27FC236}">
              <a16:creationId xmlns="" xmlns:a16="http://schemas.microsoft.com/office/drawing/2014/main" id="{6FB69F8F-E2A5-41C1-B0CD-92FC614B2922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390" name="Line 59439">
          <a:extLst>
            <a:ext uri="{FF2B5EF4-FFF2-40B4-BE49-F238E27FC236}">
              <a16:creationId xmlns="" xmlns:a16="http://schemas.microsoft.com/office/drawing/2014/main" id="{E253C6B1-C995-4AEB-8B98-18D2603B855E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392" name="Line 59459">
          <a:extLst>
            <a:ext uri="{FF2B5EF4-FFF2-40B4-BE49-F238E27FC236}">
              <a16:creationId xmlns="" xmlns:a16="http://schemas.microsoft.com/office/drawing/2014/main" id="{AEB45580-1B06-4CB2-B53C-CED84910E9B4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394" name="Line 59479">
          <a:extLst>
            <a:ext uri="{FF2B5EF4-FFF2-40B4-BE49-F238E27FC236}">
              <a16:creationId xmlns="" xmlns:a16="http://schemas.microsoft.com/office/drawing/2014/main" id="{42C6CCBF-B160-4701-A502-CC031C205654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396" name="Line 59499">
          <a:extLst>
            <a:ext uri="{FF2B5EF4-FFF2-40B4-BE49-F238E27FC236}">
              <a16:creationId xmlns="" xmlns:a16="http://schemas.microsoft.com/office/drawing/2014/main" id="{2787A12F-5919-4DCD-8B05-BEC0F4020C7A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398" name="Line 59724">
          <a:extLst>
            <a:ext uri="{FF2B5EF4-FFF2-40B4-BE49-F238E27FC236}">
              <a16:creationId xmlns="" xmlns:a16="http://schemas.microsoft.com/office/drawing/2014/main" id="{1FE88EA0-C2F1-4C93-816F-9D397AD71996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00" name="Line 59726">
          <a:extLst>
            <a:ext uri="{FF2B5EF4-FFF2-40B4-BE49-F238E27FC236}">
              <a16:creationId xmlns="" xmlns:a16="http://schemas.microsoft.com/office/drawing/2014/main" id="{D08D957A-080B-4056-B868-772F3696BC04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02" name="Line 59728">
          <a:extLst>
            <a:ext uri="{FF2B5EF4-FFF2-40B4-BE49-F238E27FC236}">
              <a16:creationId xmlns="" xmlns:a16="http://schemas.microsoft.com/office/drawing/2014/main" id="{0BE0C278-C666-4C62-AD58-1609171213AB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04" name="Line 59730">
          <a:extLst>
            <a:ext uri="{FF2B5EF4-FFF2-40B4-BE49-F238E27FC236}">
              <a16:creationId xmlns="" xmlns:a16="http://schemas.microsoft.com/office/drawing/2014/main" id="{D292FB05-6DD4-4588-B138-EF6A5D726BC6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06" name="Line 59732">
          <a:extLst>
            <a:ext uri="{FF2B5EF4-FFF2-40B4-BE49-F238E27FC236}">
              <a16:creationId xmlns="" xmlns:a16="http://schemas.microsoft.com/office/drawing/2014/main" id="{7BEE9225-4927-4982-BB6C-51217B86EA0B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08" name="Line 59734">
          <a:extLst>
            <a:ext uri="{FF2B5EF4-FFF2-40B4-BE49-F238E27FC236}">
              <a16:creationId xmlns="" xmlns:a16="http://schemas.microsoft.com/office/drawing/2014/main" id="{FC31D834-7F1F-48D2-932E-2B2E82E544FB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10" name="Line 59736">
          <a:extLst>
            <a:ext uri="{FF2B5EF4-FFF2-40B4-BE49-F238E27FC236}">
              <a16:creationId xmlns="" xmlns:a16="http://schemas.microsoft.com/office/drawing/2014/main" id="{C2315EB1-7AF5-4853-9888-77BA05413643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12" name="Line 59738">
          <a:extLst>
            <a:ext uri="{FF2B5EF4-FFF2-40B4-BE49-F238E27FC236}">
              <a16:creationId xmlns="" xmlns:a16="http://schemas.microsoft.com/office/drawing/2014/main" id="{66875135-1190-423D-9A76-1DA0F79BF7DE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14" name="Line 59740">
          <a:extLst>
            <a:ext uri="{FF2B5EF4-FFF2-40B4-BE49-F238E27FC236}">
              <a16:creationId xmlns="" xmlns:a16="http://schemas.microsoft.com/office/drawing/2014/main" id="{264E49FB-7F37-406F-887E-8703D145AE53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16" name="Line 59742">
          <a:extLst>
            <a:ext uri="{FF2B5EF4-FFF2-40B4-BE49-F238E27FC236}">
              <a16:creationId xmlns="" xmlns:a16="http://schemas.microsoft.com/office/drawing/2014/main" id="{B6EAE4DC-66D6-4FD4-8666-DEB14FDE609B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18" name="Line 59744">
          <a:extLst>
            <a:ext uri="{FF2B5EF4-FFF2-40B4-BE49-F238E27FC236}">
              <a16:creationId xmlns="" xmlns:a16="http://schemas.microsoft.com/office/drawing/2014/main" id="{7EC7C521-76CF-4D52-8067-3ED3E0008831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20" name="Line 59746">
          <a:extLst>
            <a:ext uri="{FF2B5EF4-FFF2-40B4-BE49-F238E27FC236}">
              <a16:creationId xmlns="" xmlns:a16="http://schemas.microsoft.com/office/drawing/2014/main" id="{0EC3373C-C3BB-4981-AB1D-258537E62A85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22" name="Line 59748">
          <a:extLst>
            <a:ext uri="{FF2B5EF4-FFF2-40B4-BE49-F238E27FC236}">
              <a16:creationId xmlns="" xmlns:a16="http://schemas.microsoft.com/office/drawing/2014/main" id="{C32EC4BC-AF9C-42F9-9DAF-3AA531D3BECF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24" name="Line 59750">
          <a:extLst>
            <a:ext uri="{FF2B5EF4-FFF2-40B4-BE49-F238E27FC236}">
              <a16:creationId xmlns="" xmlns:a16="http://schemas.microsoft.com/office/drawing/2014/main" id="{9F015D0B-4FD4-4126-9D80-0F873B5266B0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26" name="Line 59752">
          <a:extLst>
            <a:ext uri="{FF2B5EF4-FFF2-40B4-BE49-F238E27FC236}">
              <a16:creationId xmlns="" xmlns:a16="http://schemas.microsoft.com/office/drawing/2014/main" id="{DAE2C951-321F-4E55-BA38-6CE6063E27BF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28" name="Line 59754">
          <a:extLst>
            <a:ext uri="{FF2B5EF4-FFF2-40B4-BE49-F238E27FC236}">
              <a16:creationId xmlns="" xmlns:a16="http://schemas.microsoft.com/office/drawing/2014/main" id="{7121987B-2D05-408A-8B68-5178D1F5614E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30" name="Line 59756">
          <a:extLst>
            <a:ext uri="{FF2B5EF4-FFF2-40B4-BE49-F238E27FC236}">
              <a16:creationId xmlns="" xmlns:a16="http://schemas.microsoft.com/office/drawing/2014/main" id="{4C5FB4B6-32C8-4FF9-ACE5-572C18D15E83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32" name="Line 59758">
          <a:extLst>
            <a:ext uri="{FF2B5EF4-FFF2-40B4-BE49-F238E27FC236}">
              <a16:creationId xmlns="" xmlns:a16="http://schemas.microsoft.com/office/drawing/2014/main" id="{2B902442-9F98-4773-829B-C27BAC1A7A18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34" name="Line 59760">
          <a:extLst>
            <a:ext uri="{FF2B5EF4-FFF2-40B4-BE49-F238E27FC236}">
              <a16:creationId xmlns="" xmlns:a16="http://schemas.microsoft.com/office/drawing/2014/main" id="{16E6A716-3264-4E4A-BA18-62860759963E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36" name="Line 59762">
          <a:extLst>
            <a:ext uri="{FF2B5EF4-FFF2-40B4-BE49-F238E27FC236}">
              <a16:creationId xmlns="" xmlns:a16="http://schemas.microsoft.com/office/drawing/2014/main" id="{93E5007E-2BE7-44E7-8A15-62E94420104D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38" name="Line 59764">
          <a:extLst>
            <a:ext uri="{FF2B5EF4-FFF2-40B4-BE49-F238E27FC236}">
              <a16:creationId xmlns="" xmlns:a16="http://schemas.microsoft.com/office/drawing/2014/main" id="{DE69EFA8-83BC-449B-A98A-21FACC4260BD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19050</xdr:rowOff>
    </xdr:from>
    <xdr:to>
      <xdr:col>5</xdr:col>
      <xdr:colOff>0</xdr:colOff>
      <xdr:row>47</xdr:row>
      <xdr:rowOff>209550</xdr:rowOff>
    </xdr:to>
    <xdr:sp macro="" textlink="">
      <xdr:nvSpPr>
        <xdr:cNvPr id="125440" name="Line 59766">
          <a:extLst>
            <a:ext uri="{FF2B5EF4-FFF2-40B4-BE49-F238E27FC236}">
              <a16:creationId xmlns="" xmlns:a16="http://schemas.microsoft.com/office/drawing/2014/main" id="{FD88776D-ED6D-4837-A4D9-4D0C3D510650}"/>
            </a:ext>
          </a:extLst>
        </xdr:cNvPr>
        <xdr:cNvSpPr>
          <a:spLocks noChangeShapeType="1"/>
        </xdr:cNvSpPr>
      </xdr:nvSpPr>
      <xdr:spPr bwMode="auto">
        <a:xfrm>
          <a:off x="912813" y="12806363"/>
          <a:ext cx="0" cy="1905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19050</xdr:rowOff>
    </xdr:from>
    <xdr:to>
      <xdr:col>5</xdr:col>
      <xdr:colOff>0</xdr:colOff>
      <xdr:row>49</xdr:row>
      <xdr:rowOff>241300</xdr:rowOff>
    </xdr:to>
    <xdr:sp macro="" textlink="">
      <xdr:nvSpPr>
        <xdr:cNvPr id="125442" name="Line 59401">
          <a:extLst>
            <a:ext uri="{FF2B5EF4-FFF2-40B4-BE49-F238E27FC236}">
              <a16:creationId xmlns="" xmlns:a16="http://schemas.microsoft.com/office/drawing/2014/main" id="{F47ACCE1-10D6-4A28-9A2E-066BE8472ECB}"/>
            </a:ext>
          </a:extLst>
        </xdr:cNvPr>
        <xdr:cNvSpPr>
          <a:spLocks noChangeShapeType="1"/>
        </xdr:cNvSpPr>
      </xdr:nvSpPr>
      <xdr:spPr bwMode="auto">
        <a:xfrm>
          <a:off x="912813" y="1332230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19050</xdr:rowOff>
    </xdr:from>
    <xdr:to>
      <xdr:col>5</xdr:col>
      <xdr:colOff>0</xdr:colOff>
      <xdr:row>49</xdr:row>
      <xdr:rowOff>241300</xdr:rowOff>
    </xdr:to>
    <xdr:sp macro="" textlink="">
      <xdr:nvSpPr>
        <xdr:cNvPr id="125444" name="Line 59421">
          <a:extLst>
            <a:ext uri="{FF2B5EF4-FFF2-40B4-BE49-F238E27FC236}">
              <a16:creationId xmlns="" xmlns:a16="http://schemas.microsoft.com/office/drawing/2014/main" id="{FAFB5D85-2750-455F-9687-D4FCF1E9E966}"/>
            </a:ext>
          </a:extLst>
        </xdr:cNvPr>
        <xdr:cNvSpPr>
          <a:spLocks noChangeShapeType="1"/>
        </xdr:cNvSpPr>
      </xdr:nvSpPr>
      <xdr:spPr bwMode="auto">
        <a:xfrm>
          <a:off x="912813" y="1332230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19050</xdr:rowOff>
    </xdr:from>
    <xdr:to>
      <xdr:col>5</xdr:col>
      <xdr:colOff>0</xdr:colOff>
      <xdr:row>49</xdr:row>
      <xdr:rowOff>241300</xdr:rowOff>
    </xdr:to>
    <xdr:sp macro="" textlink="">
      <xdr:nvSpPr>
        <xdr:cNvPr id="125446" name="Line 59441">
          <a:extLst>
            <a:ext uri="{FF2B5EF4-FFF2-40B4-BE49-F238E27FC236}">
              <a16:creationId xmlns="" xmlns:a16="http://schemas.microsoft.com/office/drawing/2014/main" id="{83A3622E-2898-4AAD-AD7B-6BC5F12B72B5}"/>
            </a:ext>
          </a:extLst>
        </xdr:cNvPr>
        <xdr:cNvSpPr>
          <a:spLocks noChangeShapeType="1"/>
        </xdr:cNvSpPr>
      </xdr:nvSpPr>
      <xdr:spPr bwMode="auto">
        <a:xfrm>
          <a:off x="912813" y="1332230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19050</xdr:rowOff>
    </xdr:from>
    <xdr:to>
      <xdr:col>5</xdr:col>
      <xdr:colOff>0</xdr:colOff>
      <xdr:row>49</xdr:row>
      <xdr:rowOff>241300</xdr:rowOff>
    </xdr:to>
    <xdr:sp macro="" textlink="">
      <xdr:nvSpPr>
        <xdr:cNvPr id="125448" name="Line 59461">
          <a:extLst>
            <a:ext uri="{FF2B5EF4-FFF2-40B4-BE49-F238E27FC236}">
              <a16:creationId xmlns="" xmlns:a16="http://schemas.microsoft.com/office/drawing/2014/main" id="{FB7FDC53-742E-4297-A02D-484EF170BB5F}"/>
            </a:ext>
          </a:extLst>
        </xdr:cNvPr>
        <xdr:cNvSpPr>
          <a:spLocks noChangeShapeType="1"/>
        </xdr:cNvSpPr>
      </xdr:nvSpPr>
      <xdr:spPr bwMode="auto">
        <a:xfrm>
          <a:off x="912813" y="1332230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19050</xdr:rowOff>
    </xdr:from>
    <xdr:to>
      <xdr:col>5</xdr:col>
      <xdr:colOff>0</xdr:colOff>
      <xdr:row>49</xdr:row>
      <xdr:rowOff>241300</xdr:rowOff>
    </xdr:to>
    <xdr:sp macro="" textlink="">
      <xdr:nvSpPr>
        <xdr:cNvPr id="125450" name="Line 59481">
          <a:extLst>
            <a:ext uri="{FF2B5EF4-FFF2-40B4-BE49-F238E27FC236}">
              <a16:creationId xmlns="" xmlns:a16="http://schemas.microsoft.com/office/drawing/2014/main" id="{421F8EB8-FFA4-426D-A459-3DF3743AF5D0}"/>
            </a:ext>
          </a:extLst>
        </xdr:cNvPr>
        <xdr:cNvSpPr>
          <a:spLocks noChangeShapeType="1"/>
        </xdr:cNvSpPr>
      </xdr:nvSpPr>
      <xdr:spPr bwMode="auto">
        <a:xfrm>
          <a:off x="912813" y="1332230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47466</xdr:colOff>
      <xdr:row>49</xdr:row>
      <xdr:rowOff>7938</xdr:rowOff>
    </xdr:from>
    <xdr:to>
      <xdr:col>11</xdr:col>
      <xdr:colOff>111284</xdr:colOff>
      <xdr:row>49</xdr:row>
      <xdr:rowOff>7938</xdr:rowOff>
    </xdr:to>
    <xdr:sp macro="" textlink="">
      <xdr:nvSpPr>
        <xdr:cNvPr id="125451" name="Line 59500">
          <a:extLst>
            <a:ext uri="{FF2B5EF4-FFF2-40B4-BE49-F238E27FC236}">
              <a16:creationId xmlns="" xmlns:a16="http://schemas.microsoft.com/office/drawing/2014/main" id="{47B1DDFC-3FED-42E8-8629-E4D6196894EA}"/>
            </a:ext>
          </a:extLst>
        </xdr:cNvPr>
        <xdr:cNvSpPr>
          <a:spLocks noChangeShapeType="1"/>
        </xdr:cNvSpPr>
      </xdr:nvSpPr>
      <xdr:spPr bwMode="auto">
        <a:xfrm>
          <a:off x="230029" y="12319001"/>
          <a:ext cx="1889443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19050</xdr:rowOff>
    </xdr:from>
    <xdr:to>
      <xdr:col>5</xdr:col>
      <xdr:colOff>0</xdr:colOff>
      <xdr:row>49</xdr:row>
      <xdr:rowOff>241300</xdr:rowOff>
    </xdr:to>
    <xdr:sp macro="" textlink="">
      <xdr:nvSpPr>
        <xdr:cNvPr id="125452" name="Line 59501">
          <a:extLst>
            <a:ext uri="{FF2B5EF4-FFF2-40B4-BE49-F238E27FC236}">
              <a16:creationId xmlns="" xmlns:a16="http://schemas.microsoft.com/office/drawing/2014/main" id="{CF0E2205-E861-45A6-BCAB-C09B5203B7FD}"/>
            </a:ext>
          </a:extLst>
        </xdr:cNvPr>
        <xdr:cNvSpPr>
          <a:spLocks noChangeShapeType="1"/>
        </xdr:cNvSpPr>
      </xdr:nvSpPr>
      <xdr:spPr bwMode="auto">
        <a:xfrm>
          <a:off x="912813" y="13322300"/>
          <a:ext cx="0" cy="2222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101600</xdr:rowOff>
    </xdr:from>
    <xdr:to>
      <xdr:col>5</xdr:col>
      <xdr:colOff>0</xdr:colOff>
      <xdr:row>51</xdr:row>
      <xdr:rowOff>349250</xdr:rowOff>
    </xdr:to>
    <xdr:sp macro="" textlink="">
      <xdr:nvSpPr>
        <xdr:cNvPr id="125454" name="Line 59503">
          <a:extLst>
            <a:ext uri="{FF2B5EF4-FFF2-40B4-BE49-F238E27FC236}">
              <a16:creationId xmlns="" xmlns:a16="http://schemas.microsoft.com/office/drawing/2014/main" id="{9A7E34D5-28DC-445B-AD54-41274675EE97}"/>
            </a:ext>
          </a:extLst>
        </xdr:cNvPr>
        <xdr:cNvSpPr>
          <a:spLocks noChangeShapeType="1"/>
        </xdr:cNvSpPr>
      </xdr:nvSpPr>
      <xdr:spPr bwMode="auto">
        <a:xfrm>
          <a:off x="912813" y="13896975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55" name="Line 59404">
          <a:extLst>
            <a:ext uri="{FF2B5EF4-FFF2-40B4-BE49-F238E27FC236}">
              <a16:creationId xmlns="" xmlns:a16="http://schemas.microsoft.com/office/drawing/2014/main" id="{25E5223F-0B07-4C56-974F-BE6369324530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56" name="Line 59405">
          <a:extLst>
            <a:ext uri="{FF2B5EF4-FFF2-40B4-BE49-F238E27FC236}">
              <a16:creationId xmlns="" xmlns:a16="http://schemas.microsoft.com/office/drawing/2014/main" id="{0E8A2DC2-E45A-420C-B533-D95FCCD635BC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57" name="Line 59424">
          <a:extLst>
            <a:ext uri="{FF2B5EF4-FFF2-40B4-BE49-F238E27FC236}">
              <a16:creationId xmlns="" xmlns:a16="http://schemas.microsoft.com/office/drawing/2014/main" id="{6F5AE486-5A9B-42AE-B3C7-F00DAF8AC636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58" name="Line 59425">
          <a:extLst>
            <a:ext uri="{FF2B5EF4-FFF2-40B4-BE49-F238E27FC236}">
              <a16:creationId xmlns="" xmlns:a16="http://schemas.microsoft.com/office/drawing/2014/main" id="{75547BE5-5247-4655-8EAA-BB192AC5AF0C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59" name="Line 59444">
          <a:extLst>
            <a:ext uri="{FF2B5EF4-FFF2-40B4-BE49-F238E27FC236}">
              <a16:creationId xmlns="" xmlns:a16="http://schemas.microsoft.com/office/drawing/2014/main" id="{E6DC0E63-D60A-483E-80E2-147A8659EEE4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60" name="Line 59445">
          <a:extLst>
            <a:ext uri="{FF2B5EF4-FFF2-40B4-BE49-F238E27FC236}">
              <a16:creationId xmlns="" xmlns:a16="http://schemas.microsoft.com/office/drawing/2014/main" id="{8737EF21-E40D-4CB7-8810-479DF80A1EC1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61" name="Line 59464">
          <a:extLst>
            <a:ext uri="{FF2B5EF4-FFF2-40B4-BE49-F238E27FC236}">
              <a16:creationId xmlns="" xmlns:a16="http://schemas.microsoft.com/office/drawing/2014/main" id="{CCF99184-4F78-4CE6-AB11-182D8D418178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62" name="Line 59465">
          <a:extLst>
            <a:ext uri="{FF2B5EF4-FFF2-40B4-BE49-F238E27FC236}">
              <a16:creationId xmlns="" xmlns:a16="http://schemas.microsoft.com/office/drawing/2014/main" id="{B7C429E2-31B7-4AE4-AFB7-D04D9CCBDC2F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63" name="Line 59484">
          <a:extLst>
            <a:ext uri="{FF2B5EF4-FFF2-40B4-BE49-F238E27FC236}">
              <a16:creationId xmlns="" xmlns:a16="http://schemas.microsoft.com/office/drawing/2014/main" id="{A5BA33FC-1063-42FC-941E-7053D24F6594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64" name="Line 59485">
          <a:extLst>
            <a:ext uri="{FF2B5EF4-FFF2-40B4-BE49-F238E27FC236}">
              <a16:creationId xmlns="" xmlns:a16="http://schemas.microsoft.com/office/drawing/2014/main" id="{E858409B-1BA0-474B-A61A-2BA627306C75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65" name="Line 59504">
          <a:extLst>
            <a:ext uri="{FF2B5EF4-FFF2-40B4-BE49-F238E27FC236}">
              <a16:creationId xmlns="" xmlns:a16="http://schemas.microsoft.com/office/drawing/2014/main" id="{3FB24088-4319-44C0-B5CA-A6C5238889D5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66" name="Line 59505">
          <a:extLst>
            <a:ext uri="{FF2B5EF4-FFF2-40B4-BE49-F238E27FC236}">
              <a16:creationId xmlns="" xmlns:a16="http://schemas.microsoft.com/office/drawing/2014/main" id="{305F3622-2BB3-464A-A353-5B64F337091D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67" name="Line 59506">
          <a:extLst>
            <a:ext uri="{FF2B5EF4-FFF2-40B4-BE49-F238E27FC236}">
              <a16:creationId xmlns="" xmlns:a16="http://schemas.microsoft.com/office/drawing/2014/main" id="{C2ECD56A-9CAF-4ACC-B8B9-5EE7E4836F87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68" name="Line 59507">
          <a:extLst>
            <a:ext uri="{FF2B5EF4-FFF2-40B4-BE49-F238E27FC236}">
              <a16:creationId xmlns="" xmlns:a16="http://schemas.microsoft.com/office/drawing/2014/main" id="{574014B2-479B-4E36-AC25-0078CBE6D9C1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69" name="Line 59767">
          <a:extLst>
            <a:ext uri="{FF2B5EF4-FFF2-40B4-BE49-F238E27FC236}">
              <a16:creationId xmlns="" xmlns:a16="http://schemas.microsoft.com/office/drawing/2014/main" id="{2A78D598-2F20-4105-9A6A-0619D053362B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70" name="Line 59768">
          <a:extLst>
            <a:ext uri="{FF2B5EF4-FFF2-40B4-BE49-F238E27FC236}">
              <a16:creationId xmlns="" xmlns:a16="http://schemas.microsoft.com/office/drawing/2014/main" id="{D3F2C3EF-352C-4D81-975E-230DD39C6B26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71" name="Line 59769">
          <a:extLst>
            <a:ext uri="{FF2B5EF4-FFF2-40B4-BE49-F238E27FC236}">
              <a16:creationId xmlns="" xmlns:a16="http://schemas.microsoft.com/office/drawing/2014/main" id="{4D5CD7FE-025E-46B6-A314-0ADA9EB94379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72" name="Line 59770">
          <a:extLst>
            <a:ext uri="{FF2B5EF4-FFF2-40B4-BE49-F238E27FC236}">
              <a16:creationId xmlns="" xmlns:a16="http://schemas.microsoft.com/office/drawing/2014/main" id="{591ED3F5-C411-4A35-9BCA-79A03612CF1E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73" name="Line 59771">
          <a:extLst>
            <a:ext uri="{FF2B5EF4-FFF2-40B4-BE49-F238E27FC236}">
              <a16:creationId xmlns="" xmlns:a16="http://schemas.microsoft.com/office/drawing/2014/main" id="{A7AD9A91-ABB0-40C2-8D92-B915B9993110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74" name="Line 59772">
          <a:extLst>
            <a:ext uri="{FF2B5EF4-FFF2-40B4-BE49-F238E27FC236}">
              <a16:creationId xmlns="" xmlns:a16="http://schemas.microsoft.com/office/drawing/2014/main" id="{D5392A6A-8831-41F5-BDCD-CA916945CEC6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75" name="Line 59773">
          <a:extLst>
            <a:ext uri="{FF2B5EF4-FFF2-40B4-BE49-F238E27FC236}">
              <a16:creationId xmlns="" xmlns:a16="http://schemas.microsoft.com/office/drawing/2014/main" id="{E8DDA36B-E36A-45D5-A879-809031720E96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76" name="Line 59774">
          <a:extLst>
            <a:ext uri="{FF2B5EF4-FFF2-40B4-BE49-F238E27FC236}">
              <a16:creationId xmlns="" xmlns:a16="http://schemas.microsoft.com/office/drawing/2014/main" id="{0AD2922F-BB15-4C12-B28A-F1B1EC1D084C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77" name="Line 59775">
          <a:extLst>
            <a:ext uri="{FF2B5EF4-FFF2-40B4-BE49-F238E27FC236}">
              <a16:creationId xmlns="" xmlns:a16="http://schemas.microsoft.com/office/drawing/2014/main" id="{0B7DBDE5-8AE1-4030-BF12-95C6DD464672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78" name="Line 59776">
          <a:extLst>
            <a:ext uri="{FF2B5EF4-FFF2-40B4-BE49-F238E27FC236}">
              <a16:creationId xmlns="" xmlns:a16="http://schemas.microsoft.com/office/drawing/2014/main" id="{CF70C923-2A35-4824-9320-B4AF062D8E41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139700</xdr:colOff>
      <xdr:row>53</xdr:row>
      <xdr:rowOff>0</xdr:rowOff>
    </xdr:from>
    <xdr:to>
      <xdr:col>11</xdr:col>
      <xdr:colOff>38100</xdr:colOff>
      <xdr:row>53</xdr:row>
      <xdr:rowOff>0</xdr:rowOff>
    </xdr:to>
    <xdr:sp macro="" textlink="">
      <xdr:nvSpPr>
        <xdr:cNvPr id="125479" name="Line 59777">
          <a:extLst>
            <a:ext uri="{FF2B5EF4-FFF2-40B4-BE49-F238E27FC236}">
              <a16:creationId xmlns="" xmlns:a16="http://schemas.microsoft.com/office/drawing/2014/main" id="{A7AAF63B-0C71-4794-A62D-6F47F1366620}"/>
            </a:ext>
          </a:extLst>
        </xdr:cNvPr>
        <xdr:cNvSpPr>
          <a:spLocks noChangeShapeType="1"/>
        </xdr:cNvSpPr>
      </xdr:nvSpPr>
      <xdr:spPr bwMode="auto">
        <a:xfrm>
          <a:off x="322263" y="14398625"/>
          <a:ext cx="172402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80" name="Line 59778">
          <a:extLst>
            <a:ext uri="{FF2B5EF4-FFF2-40B4-BE49-F238E27FC236}">
              <a16:creationId xmlns="" xmlns:a16="http://schemas.microsoft.com/office/drawing/2014/main" id="{028A5D37-9259-4D2B-BEF2-CC9923E2098A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81" name="Line 59779">
          <a:extLst>
            <a:ext uri="{FF2B5EF4-FFF2-40B4-BE49-F238E27FC236}">
              <a16:creationId xmlns="" xmlns:a16="http://schemas.microsoft.com/office/drawing/2014/main" id="{85577057-3481-4C66-921D-B727D5506DFD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82" name="Line 59780">
          <a:extLst>
            <a:ext uri="{FF2B5EF4-FFF2-40B4-BE49-F238E27FC236}">
              <a16:creationId xmlns="" xmlns:a16="http://schemas.microsoft.com/office/drawing/2014/main" id="{89853187-5762-4313-918C-CC45D80199CD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83" name="Line 59781">
          <a:extLst>
            <a:ext uri="{FF2B5EF4-FFF2-40B4-BE49-F238E27FC236}">
              <a16:creationId xmlns="" xmlns:a16="http://schemas.microsoft.com/office/drawing/2014/main" id="{0B51E6EC-819A-457D-B6EB-040C4D7071FD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84" name="Line 59782">
          <a:extLst>
            <a:ext uri="{FF2B5EF4-FFF2-40B4-BE49-F238E27FC236}">
              <a16:creationId xmlns="" xmlns:a16="http://schemas.microsoft.com/office/drawing/2014/main" id="{3E6B1A95-78FC-44C6-8CBE-B74A983671C1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85" name="Line 59783">
          <a:extLst>
            <a:ext uri="{FF2B5EF4-FFF2-40B4-BE49-F238E27FC236}">
              <a16:creationId xmlns="" xmlns:a16="http://schemas.microsoft.com/office/drawing/2014/main" id="{C402890C-E8C9-4278-B31E-F4D68370146B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86" name="Line 59784">
          <a:extLst>
            <a:ext uri="{FF2B5EF4-FFF2-40B4-BE49-F238E27FC236}">
              <a16:creationId xmlns="" xmlns:a16="http://schemas.microsoft.com/office/drawing/2014/main" id="{8D034245-EA3E-42E1-AE89-CE071E2731B7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87" name="Line 59785">
          <a:extLst>
            <a:ext uri="{FF2B5EF4-FFF2-40B4-BE49-F238E27FC236}">
              <a16:creationId xmlns="" xmlns:a16="http://schemas.microsoft.com/office/drawing/2014/main" id="{32DF1D48-2061-41C9-A5F7-B828E191E3FA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88" name="Line 59786">
          <a:extLst>
            <a:ext uri="{FF2B5EF4-FFF2-40B4-BE49-F238E27FC236}">
              <a16:creationId xmlns="" xmlns:a16="http://schemas.microsoft.com/office/drawing/2014/main" id="{AA983217-D403-4915-A46A-9F2C04C44B2F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89" name="Line 59787">
          <a:extLst>
            <a:ext uri="{FF2B5EF4-FFF2-40B4-BE49-F238E27FC236}">
              <a16:creationId xmlns="" xmlns:a16="http://schemas.microsoft.com/office/drawing/2014/main" id="{0D6DF4DB-9005-432C-BC14-13DFC643F9CB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90" name="Line 59788">
          <a:extLst>
            <a:ext uri="{FF2B5EF4-FFF2-40B4-BE49-F238E27FC236}">
              <a16:creationId xmlns="" xmlns:a16="http://schemas.microsoft.com/office/drawing/2014/main" id="{2C3644D9-C445-4EF5-9169-F85617EFCBF9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91" name="Line 59789">
          <a:extLst>
            <a:ext uri="{FF2B5EF4-FFF2-40B4-BE49-F238E27FC236}">
              <a16:creationId xmlns="" xmlns:a16="http://schemas.microsoft.com/office/drawing/2014/main" id="{867C7583-E2BA-4932-AC28-01519AEC4974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92" name="Line 59790">
          <a:extLst>
            <a:ext uri="{FF2B5EF4-FFF2-40B4-BE49-F238E27FC236}">
              <a16:creationId xmlns="" xmlns:a16="http://schemas.microsoft.com/office/drawing/2014/main" id="{0E5756A7-F646-4E22-BAB8-03EA1A45B465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93" name="Line 59791">
          <a:extLst>
            <a:ext uri="{FF2B5EF4-FFF2-40B4-BE49-F238E27FC236}">
              <a16:creationId xmlns="" xmlns:a16="http://schemas.microsoft.com/office/drawing/2014/main" id="{E10CAB78-4478-4F99-802C-3469AFB8877D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94" name="Line 59792">
          <a:extLst>
            <a:ext uri="{FF2B5EF4-FFF2-40B4-BE49-F238E27FC236}">
              <a16:creationId xmlns="" xmlns:a16="http://schemas.microsoft.com/office/drawing/2014/main" id="{9954FB7B-914C-415D-B773-38625BC3C96B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95" name="Line 59793">
          <a:extLst>
            <a:ext uri="{FF2B5EF4-FFF2-40B4-BE49-F238E27FC236}">
              <a16:creationId xmlns="" xmlns:a16="http://schemas.microsoft.com/office/drawing/2014/main" id="{5EF5BD4F-B35D-4945-BE52-38B13712C464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96" name="Line 59794">
          <a:extLst>
            <a:ext uri="{FF2B5EF4-FFF2-40B4-BE49-F238E27FC236}">
              <a16:creationId xmlns="" xmlns:a16="http://schemas.microsoft.com/office/drawing/2014/main" id="{E7FBBF12-6975-4B93-B4AE-33804914EDB0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97" name="Line 59795">
          <a:extLst>
            <a:ext uri="{FF2B5EF4-FFF2-40B4-BE49-F238E27FC236}">
              <a16:creationId xmlns="" xmlns:a16="http://schemas.microsoft.com/office/drawing/2014/main" id="{E07464E4-EFE3-4A01-AE42-D3500EF0E6A4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498" name="Line 59796">
          <a:extLst>
            <a:ext uri="{FF2B5EF4-FFF2-40B4-BE49-F238E27FC236}">
              <a16:creationId xmlns="" xmlns:a16="http://schemas.microsoft.com/office/drawing/2014/main" id="{D493A65F-91BB-4E5D-9081-FE5D35F52509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499" name="Line 59797">
          <a:extLst>
            <a:ext uri="{FF2B5EF4-FFF2-40B4-BE49-F238E27FC236}">
              <a16:creationId xmlns="" xmlns:a16="http://schemas.microsoft.com/office/drawing/2014/main" id="{6ECC825A-94D5-400F-9AD6-5D7B0A7759CB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00" name="Line 59798">
          <a:extLst>
            <a:ext uri="{FF2B5EF4-FFF2-40B4-BE49-F238E27FC236}">
              <a16:creationId xmlns="" xmlns:a16="http://schemas.microsoft.com/office/drawing/2014/main" id="{E9D1ABA1-0106-43B6-8FBC-9E4E4DA66FDC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01" name="Line 59799">
          <a:extLst>
            <a:ext uri="{FF2B5EF4-FFF2-40B4-BE49-F238E27FC236}">
              <a16:creationId xmlns="" xmlns:a16="http://schemas.microsoft.com/office/drawing/2014/main" id="{6B3DB020-E1E6-4E75-A48F-1E5842A4E6E3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02" name="Line 59800">
          <a:extLst>
            <a:ext uri="{FF2B5EF4-FFF2-40B4-BE49-F238E27FC236}">
              <a16:creationId xmlns="" xmlns:a16="http://schemas.microsoft.com/office/drawing/2014/main" id="{15886CEC-4154-4809-9DD3-F9EAF38957ED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03" name="Line 59801">
          <a:extLst>
            <a:ext uri="{FF2B5EF4-FFF2-40B4-BE49-F238E27FC236}">
              <a16:creationId xmlns="" xmlns:a16="http://schemas.microsoft.com/office/drawing/2014/main" id="{F4FBB053-F293-4B93-9F46-24AC12BF2934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04" name="Line 59802">
          <a:extLst>
            <a:ext uri="{FF2B5EF4-FFF2-40B4-BE49-F238E27FC236}">
              <a16:creationId xmlns="" xmlns:a16="http://schemas.microsoft.com/office/drawing/2014/main" id="{AC5F7FBE-BDE6-4260-B8A7-F5A8371DEB9D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05" name="Line 59803">
          <a:extLst>
            <a:ext uri="{FF2B5EF4-FFF2-40B4-BE49-F238E27FC236}">
              <a16:creationId xmlns="" xmlns:a16="http://schemas.microsoft.com/office/drawing/2014/main" id="{27EDF73E-9676-452C-A54A-C79F80F3D71E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06" name="Line 59804">
          <a:extLst>
            <a:ext uri="{FF2B5EF4-FFF2-40B4-BE49-F238E27FC236}">
              <a16:creationId xmlns="" xmlns:a16="http://schemas.microsoft.com/office/drawing/2014/main" id="{A840D844-FD02-4542-88D5-256A3B608654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07" name="Line 59805">
          <a:extLst>
            <a:ext uri="{FF2B5EF4-FFF2-40B4-BE49-F238E27FC236}">
              <a16:creationId xmlns="" xmlns:a16="http://schemas.microsoft.com/office/drawing/2014/main" id="{D6FCE7BD-CA28-4204-A8F5-3A7029F50165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08" name="Line 59806">
          <a:extLst>
            <a:ext uri="{FF2B5EF4-FFF2-40B4-BE49-F238E27FC236}">
              <a16:creationId xmlns="" xmlns:a16="http://schemas.microsoft.com/office/drawing/2014/main" id="{ED898F29-69A9-4BC3-BD32-5B89F93BBA6A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09" name="Line 59807">
          <a:extLst>
            <a:ext uri="{FF2B5EF4-FFF2-40B4-BE49-F238E27FC236}">
              <a16:creationId xmlns="" xmlns:a16="http://schemas.microsoft.com/office/drawing/2014/main" id="{87367467-444F-442A-AD7B-485934C5508E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10" name="Line 59808">
          <a:extLst>
            <a:ext uri="{FF2B5EF4-FFF2-40B4-BE49-F238E27FC236}">
              <a16:creationId xmlns="" xmlns:a16="http://schemas.microsoft.com/office/drawing/2014/main" id="{C0427B4D-2764-458D-863A-572C0713ED51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11" name="Line 59809">
          <a:extLst>
            <a:ext uri="{FF2B5EF4-FFF2-40B4-BE49-F238E27FC236}">
              <a16:creationId xmlns="" xmlns:a16="http://schemas.microsoft.com/office/drawing/2014/main" id="{3CF41F28-0855-4AC8-8983-87647A19C5D5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12" name="Line 59810">
          <a:extLst>
            <a:ext uri="{FF2B5EF4-FFF2-40B4-BE49-F238E27FC236}">
              <a16:creationId xmlns="" xmlns:a16="http://schemas.microsoft.com/office/drawing/2014/main" id="{5EBDD062-27E4-4E19-ABD5-3AC755CD8E43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13" name="Line 59811">
          <a:extLst>
            <a:ext uri="{FF2B5EF4-FFF2-40B4-BE49-F238E27FC236}">
              <a16:creationId xmlns="" xmlns:a16="http://schemas.microsoft.com/office/drawing/2014/main" id="{D8CA978A-AC14-4F1E-ADAA-D41B58CD29BC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14" name="Line 59812">
          <a:extLst>
            <a:ext uri="{FF2B5EF4-FFF2-40B4-BE49-F238E27FC236}">
              <a16:creationId xmlns="" xmlns:a16="http://schemas.microsoft.com/office/drawing/2014/main" id="{9D86B829-47B3-4340-803B-34BB33340DE3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15" name="Line 59813">
          <a:extLst>
            <a:ext uri="{FF2B5EF4-FFF2-40B4-BE49-F238E27FC236}">
              <a16:creationId xmlns="" xmlns:a16="http://schemas.microsoft.com/office/drawing/2014/main" id="{A0009B16-50E3-4EE8-80DC-7BBCB3DB7E5C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16" name="Line 59814">
          <a:extLst>
            <a:ext uri="{FF2B5EF4-FFF2-40B4-BE49-F238E27FC236}">
              <a16:creationId xmlns="" xmlns:a16="http://schemas.microsoft.com/office/drawing/2014/main" id="{A3D5D7EE-038D-4AFC-B5BC-5782F78DDA03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17" name="Line 59815">
          <a:extLst>
            <a:ext uri="{FF2B5EF4-FFF2-40B4-BE49-F238E27FC236}">
              <a16:creationId xmlns="" xmlns:a16="http://schemas.microsoft.com/office/drawing/2014/main" id="{5C87D2E4-094F-4D94-8BA0-46310804C524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18" name="Line 59816">
          <a:extLst>
            <a:ext uri="{FF2B5EF4-FFF2-40B4-BE49-F238E27FC236}">
              <a16:creationId xmlns="" xmlns:a16="http://schemas.microsoft.com/office/drawing/2014/main" id="{71223B18-5880-4A78-9654-EBE16719EA5D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19" name="Line 59817">
          <a:extLst>
            <a:ext uri="{FF2B5EF4-FFF2-40B4-BE49-F238E27FC236}">
              <a16:creationId xmlns="" xmlns:a16="http://schemas.microsoft.com/office/drawing/2014/main" id="{C4B999D8-3AB7-4BF9-8F87-8F006740C24C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20" name="Line 59818">
          <a:extLst>
            <a:ext uri="{FF2B5EF4-FFF2-40B4-BE49-F238E27FC236}">
              <a16:creationId xmlns="" xmlns:a16="http://schemas.microsoft.com/office/drawing/2014/main" id="{D2D8EE9E-B1D0-40C2-8C28-195833C03D13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21" name="Line 59819">
          <a:extLst>
            <a:ext uri="{FF2B5EF4-FFF2-40B4-BE49-F238E27FC236}">
              <a16:creationId xmlns="" xmlns:a16="http://schemas.microsoft.com/office/drawing/2014/main" id="{4554C5A1-EE81-4E28-9E1F-031F591876BA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22" name="Line 59820">
          <a:extLst>
            <a:ext uri="{FF2B5EF4-FFF2-40B4-BE49-F238E27FC236}">
              <a16:creationId xmlns="" xmlns:a16="http://schemas.microsoft.com/office/drawing/2014/main" id="{1CE7720E-EBE8-4E2A-818E-C7AB8953F0FB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53</xdr:row>
      <xdr:rowOff>0</xdr:rowOff>
    </xdr:from>
    <xdr:to>
      <xdr:col>11</xdr:col>
      <xdr:colOff>25400</xdr:colOff>
      <xdr:row>53</xdr:row>
      <xdr:rowOff>0</xdr:rowOff>
    </xdr:to>
    <xdr:sp macro="" textlink="">
      <xdr:nvSpPr>
        <xdr:cNvPr id="125523" name="Line 59821">
          <a:extLst>
            <a:ext uri="{FF2B5EF4-FFF2-40B4-BE49-F238E27FC236}">
              <a16:creationId xmlns="" xmlns:a16="http://schemas.microsoft.com/office/drawing/2014/main" id="{465C71B7-C0EF-429B-AF1A-55DB676E8275}"/>
            </a:ext>
          </a:extLst>
        </xdr:cNvPr>
        <xdr:cNvSpPr>
          <a:spLocks noChangeShapeType="1"/>
        </xdr:cNvSpPr>
      </xdr:nvSpPr>
      <xdr:spPr bwMode="auto">
        <a:xfrm>
          <a:off x="315913" y="14398625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19050</xdr:rowOff>
    </xdr:from>
    <xdr:to>
      <xdr:col>5</xdr:col>
      <xdr:colOff>0</xdr:colOff>
      <xdr:row>53</xdr:row>
      <xdr:rowOff>215900</xdr:rowOff>
    </xdr:to>
    <xdr:sp macro="" textlink="">
      <xdr:nvSpPr>
        <xdr:cNvPr id="125524" name="Line 59822">
          <a:extLst>
            <a:ext uri="{FF2B5EF4-FFF2-40B4-BE49-F238E27FC236}">
              <a16:creationId xmlns="" xmlns:a16="http://schemas.microsoft.com/office/drawing/2014/main" id="{7C9B0E7D-DEF3-4329-BBE9-D9C559F4BDDD}"/>
            </a:ext>
          </a:extLst>
        </xdr:cNvPr>
        <xdr:cNvSpPr>
          <a:spLocks noChangeShapeType="1"/>
        </xdr:cNvSpPr>
      </xdr:nvSpPr>
      <xdr:spPr bwMode="auto">
        <a:xfrm>
          <a:off x="912813" y="14417675"/>
          <a:ext cx="0" cy="1968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25" name="Line 59407">
          <a:extLst>
            <a:ext uri="{FF2B5EF4-FFF2-40B4-BE49-F238E27FC236}">
              <a16:creationId xmlns="" xmlns:a16="http://schemas.microsoft.com/office/drawing/2014/main" id="{5A159E0C-CF53-4A01-B068-8FD205F1347E}"/>
            </a:ext>
          </a:extLst>
        </xdr:cNvPr>
        <xdr:cNvSpPr>
          <a:spLocks noChangeShapeType="1"/>
        </xdr:cNvSpPr>
      </xdr:nvSpPr>
      <xdr:spPr bwMode="auto">
        <a:xfrm>
          <a:off x="912813" y="14436725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26" name="Line 59427">
          <a:extLst>
            <a:ext uri="{FF2B5EF4-FFF2-40B4-BE49-F238E27FC236}">
              <a16:creationId xmlns="" xmlns:a16="http://schemas.microsoft.com/office/drawing/2014/main" id="{6E140CC2-9DF7-4865-B13D-961D1FE57BF7}"/>
            </a:ext>
          </a:extLst>
        </xdr:cNvPr>
        <xdr:cNvSpPr>
          <a:spLocks noChangeShapeType="1"/>
        </xdr:cNvSpPr>
      </xdr:nvSpPr>
      <xdr:spPr bwMode="auto">
        <a:xfrm>
          <a:off x="912813" y="14436725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27" name="Line 59447">
          <a:extLst>
            <a:ext uri="{FF2B5EF4-FFF2-40B4-BE49-F238E27FC236}">
              <a16:creationId xmlns="" xmlns:a16="http://schemas.microsoft.com/office/drawing/2014/main" id="{EA082AFC-9241-4BF9-80CE-F26FEDA74859}"/>
            </a:ext>
          </a:extLst>
        </xdr:cNvPr>
        <xdr:cNvSpPr>
          <a:spLocks noChangeShapeType="1"/>
        </xdr:cNvSpPr>
      </xdr:nvSpPr>
      <xdr:spPr bwMode="auto">
        <a:xfrm>
          <a:off x="912813" y="14436725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28" name="Line 59467">
          <a:extLst>
            <a:ext uri="{FF2B5EF4-FFF2-40B4-BE49-F238E27FC236}">
              <a16:creationId xmlns="" xmlns:a16="http://schemas.microsoft.com/office/drawing/2014/main" id="{6EF44606-CD89-4EEE-ACE9-616735547459}"/>
            </a:ext>
          </a:extLst>
        </xdr:cNvPr>
        <xdr:cNvSpPr>
          <a:spLocks noChangeShapeType="1"/>
        </xdr:cNvSpPr>
      </xdr:nvSpPr>
      <xdr:spPr bwMode="auto">
        <a:xfrm>
          <a:off x="912813" y="14436725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29" name="Line 59487">
          <a:extLst>
            <a:ext uri="{FF2B5EF4-FFF2-40B4-BE49-F238E27FC236}">
              <a16:creationId xmlns="" xmlns:a16="http://schemas.microsoft.com/office/drawing/2014/main" id="{17C5DE37-41DB-4A61-8A3E-3B97EF7D56F4}"/>
            </a:ext>
          </a:extLst>
        </xdr:cNvPr>
        <xdr:cNvSpPr>
          <a:spLocks noChangeShapeType="1"/>
        </xdr:cNvSpPr>
      </xdr:nvSpPr>
      <xdr:spPr bwMode="auto">
        <a:xfrm>
          <a:off x="912813" y="14436725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30" name="Line 59509">
          <a:extLst>
            <a:ext uri="{FF2B5EF4-FFF2-40B4-BE49-F238E27FC236}">
              <a16:creationId xmlns="" xmlns:a16="http://schemas.microsoft.com/office/drawing/2014/main" id="{2B6873DE-EFA8-4C0D-A845-D6B2C36EF929}"/>
            </a:ext>
          </a:extLst>
        </xdr:cNvPr>
        <xdr:cNvSpPr>
          <a:spLocks noChangeShapeType="1"/>
        </xdr:cNvSpPr>
      </xdr:nvSpPr>
      <xdr:spPr bwMode="auto">
        <a:xfrm>
          <a:off x="912813" y="14436725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31" name="Line 59511">
          <a:extLst>
            <a:ext uri="{FF2B5EF4-FFF2-40B4-BE49-F238E27FC236}">
              <a16:creationId xmlns="" xmlns:a16="http://schemas.microsoft.com/office/drawing/2014/main" id="{5B35FE2D-CC0C-4A1A-9912-99EF2FB76944}"/>
            </a:ext>
          </a:extLst>
        </xdr:cNvPr>
        <xdr:cNvSpPr>
          <a:spLocks noChangeShapeType="1"/>
        </xdr:cNvSpPr>
      </xdr:nvSpPr>
      <xdr:spPr bwMode="auto">
        <a:xfrm>
          <a:off x="912813" y="14436725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32" name="Line 59513">
          <a:extLst>
            <a:ext uri="{FF2B5EF4-FFF2-40B4-BE49-F238E27FC236}">
              <a16:creationId xmlns="" xmlns:a16="http://schemas.microsoft.com/office/drawing/2014/main" id="{7362833A-FD83-4E0D-A07C-B2B05EA684DD}"/>
            </a:ext>
          </a:extLst>
        </xdr:cNvPr>
        <xdr:cNvSpPr>
          <a:spLocks noChangeShapeType="1"/>
        </xdr:cNvSpPr>
      </xdr:nvSpPr>
      <xdr:spPr bwMode="auto">
        <a:xfrm>
          <a:off x="912813" y="14436725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5533" name="Line 59406">
          <a:extLst>
            <a:ext uri="{FF2B5EF4-FFF2-40B4-BE49-F238E27FC236}">
              <a16:creationId xmlns="" xmlns:a16="http://schemas.microsoft.com/office/drawing/2014/main" id="{575EB1FE-8425-4F5C-A9DD-2DC6DDBA9A97}"/>
            </a:ext>
          </a:extLst>
        </xdr:cNvPr>
        <xdr:cNvSpPr>
          <a:spLocks noChangeShapeType="1"/>
        </xdr:cNvSpPr>
      </xdr:nvSpPr>
      <xdr:spPr bwMode="auto">
        <a:xfrm>
          <a:off x="315913" y="179466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34" name="Line 59407">
          <a:extLst>
            <a:ext uri="{FF2B5EF4-FFF2-40B4-BE49-F238E27FC236}">
              <a16:creationId xmlns="" xmlns:a16="http://schemas.microsoft.com/office/drawing/2014/main" id="{97C89CE1-AC54-42D4-AB45-DC8142B6F824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5535" name="Line 59426">
          <a:extLst>
            <a:ext uri="{FF2B5EF4-FFF2-40B4-BE49-F238E27FC236}">
              <a16:creationId xmlns="" xmlns:a16="http://schemas.microsoft.com/office/drawing/2014/main" id="{0AD1C12D-FCDD-4D91-A959-C47263C5D690}"/>
            </a:ext>
          </a:extLst>
        </xdr:cNvPr>
        <xdr:cNvSpPr>
          <a:spLocks noChangeShapeType="1"/>
        </xdr:cNvSpPr>
      </xdr:nvSpPr>
      <xdr:spPr bwMode="auto">
        <a:xfrm>
          <a:off x="315913" y="179466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36" name="Line 59427">
          <a:extLst>
            <a:ext uri="{FF2B5EF4-FFF2-40B4-BE49-F238E27FC236}">
              <a16:creationId xmlns="" xmlns:a16="http://schemas.microsoft.com/office/drawing/2014/main" id="{AF571E0F-97EF-430C-A3CA-842D0495363B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5537" name="Line 59446">
          <a:extLst>
            <a:ext uri="{FF2B5EF4-FFF2-40B4-BE49-F238E27FC236}">
              <a16:creationId xmlns="" xmlns:a16="http://schemas.microsoft.com/office/drawing/2014/main" id="{1296216A-57E8-4839-AC59-58578BE8B5B0}"/>
            </a:ext>
          </a:extLst>
        </xdr:cNvPr>
        <xdr:cNvSpPr>
          <a:spLocks noChangeShapeType="1"/>
        </xdr:cNvSpPr>
      </xdr:nvSpPr>
      <xdr:spPr bwMode="auto">
        <a:xfrm>
          <a:off x="315913" y="179466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38" name="Line 59447">
          <a:extLst>
            <a:ext uri="{FF2B5EF4-FFF2-40B4-BE49-F238E27FC236}">
              <a16:creationId xmlns="" xmlns:a16="http://schemas.microsoft.com/office/drawing/2014/main" id="{B1B6D5B1-537E-473E-AA3C-EC2872CBFE2D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5539" name="Line 59466">
          <a:extLst>
            <a:ext uri="{FF2B5EF4-FFF2-40B4-BE49-F238E27FC236}">
              <a16:creationId xmlns="" xmlns:a16="http://schemas.microsoft.com/office/drawing/2014/main" id="{9FD92FD4-7AF3-4A39-A5D3-6B6A413A710A}"/>
            </a:ext>
          </a:extLst>
        </xdr:cNvPr>
        <xdr:cNvSpPr>
          <a:spLocks noChangeShapeType="1"/>
        </xdr:cNvSpPr>
      </xdr:nvSpPr>
      <xdr:spPr bwMode="auto">
        <a:xfrm>
          <a:off x="315913" y="179466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40" name="Line 59467">
          <a:extLst>
            <a:ext uri="{FF2B5EF4-FFF2-40B4-BE49-F238E27FC236}">
              <a16:creationId xmlns="" xmlns:a16="http://schemas.microsoft.com/office/drawing/2014/main" id="{47921B88-B99D-412B-8018-D35D63BFF451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5541" name="Line 59486">
          <a:extLst>
            <a:ext uri="{FF2B5EF4-FFF2-40B4-BE49-F238E27FC236}">
              <a16:creationId xmlns="" xmlns:a16="http://schemas.microsoft.com/office/drawing/2014/main" id="{80426C47-49F6-4204-9CDD-4C64DE0ABAC5}"/>
            </a:ext>
          </a:extLst>
        </xdr:cNvPr>
        <xdr:cNvSpPr>
          <a:spLocks noChangeShapeType="1"/>
        </xdr:cNvSpPr>
      </xdr:nvSpPr>
      <xdr:spPr bwMode="auto">
        <a:xfrm>
          <a:off x="315913" y="179466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42" name="Line 59487">
          <a:extLst>
            <a:ext uri="{FF2B5EF4-FFF2-40B4-BE49-F238E27FC236}">
              <a16:creationId xmlns="" xmlns:a16="http://schemas.microsoft.com/office/drawing/2014/main" id="{31A5A0BB-2674-467E-A5C4-471B2072B577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5543" name="Line 59508">
          <a:extLst>
            <a:ext uri="{FF2B5EF4-FFF2-40B4-BE49-F238E27FC236}">
              <a16:creationId xmlns="" xmlns:a16="http://schemas.microsoft.com/office/drawing/2014/main" id="{7D4F2D2B-55F6-457B-A189-D750DE2FD5A4}"/>
            </a:ext>
          </a:extLst>
        </xdr:cNvPr>
        <xdr:cNvSpPr>
          <a:spLocks noChangeShapeType="1"/>
        </xdr:cNvSpPr>
      </xdr:nvSpPr>
      <xdr:spPr bwMode="auto">
        <a:xfrm>
          <a:off x="315913" y="179466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44" name="Line 59509">
          <a:extLst>
            <a:ext uri="{FF2B5EF4-FFF2-40B4-BE49-F238E27FC236}">
              <a16:creationId xmlns="" xmlns:a16="http://schemas.microsoft.com/office/drawing/2014/main" id="{2380FEC3-C7A8-421C-9F0E-320140E71E58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5545" name="Line 59510">
          <a:extLst>
            <a:ext uri="{FF2B5EF4-FFF2-40B4-BE49-F238E27FC236}">
              <a16:creationId xmlns="" xmlns:a16="http://schemas.microsoft.com/office/drawing/2014/main" id="{C4E8CCF2-EF4D-49E0-9210-069F771ADC7A}"/>
            </a:ext>
          </a:extLst>
        </xdr:cNvPr>
        <xdr:cNvSpPr>
          <a:spLocks noChangeShapeType="1"/>
        </xdr:cNvSpPr>
      </xdr:nvSpPr>
      <xdr:spPr bwMode="auto">
        <a:xfrm>
          <a:off x="315913" y="179466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46" name="Line 59511">
          <a:extLst>
            <a:ext uri="{FF2B5EF4-FFF2-40B4-BE49-F238E27FC236}">
              <a16:creationId xmlns="" xmlns:a16="http://schemas.microsoft.com/office/drawing/2014/main" id="{F87A1854-E310-466E-947F-CBAF0B41A56F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57</xdr:row>
      <xdr:rowOff>0</xdr:rowOff>
    </xdr:from>
    <xdr:to>
      <xdr:col>11</xdr:col>
      <xdr:colOff>25400</xdr:colOff>
      <xdr:row>57</xdr:row>
      <xdr:rowOff>0</xdr:rowOff>
    </xdr:to>
    <xdr:sp macro="" textlink="">
      <xdr:nvSpPr>
        <xdr:cNvPr id="125547" name="Line 59512">
          <a:extLst>
            <a:ext uri="{FF2B5EF4-FFF2-40B4-BE49-F238E27FC236}">
              <a16:creationId xmlns="" xmlns:a16="http://schemas.microsoft.com/office/drawing/2014/main" id="{42BE79BF-CDFB-4ADD-BDCF-B717EE1BB6A5}"/>
            </a:ext>
          </a:extLst>
        </xdr:cNvPr>
        <xdr:cNvSpPr>
          <a:spLocks noChangeShapeType="1"/>
        </xdr:cNvSpPr>
      </xdr:nvSpPr>
      <xdr:spPr bwMode="auto">
        <a:xfrm>
          <a:off x="315913" y="17946688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48" name="Line 59513">
          <a:extLst>
            <a:ext uri="{FF2B5EF4-FFF2-40B4-BE49-F238E27FC236}">
              <a16:creationId xmlns="" xmlns:a16="http://schemas.microsoft.com/office/drawing/2014/main" id="{04314362-3AED-479C-869A-08DC8BABBB5A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49" name="Line 59407">
          <a:extLst>
            <a:ext uri="{FF2B5EF4-FFF2-40B4-BE49-F238E27FC236}">
              <a16:creationId xmlns="" xmlns:a16="http://schemas.microsoft.com/office/drawing/2014/main" id="{8EECBDBE-1CB0-4FE3-ACA4-2F141147EA3B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50" name="Line 59427">
          <a:extLst>
            <a:ext uri="{FF2B5EF4-FFF2-40B4-BE49-F238E27FC236}">
              <a16:creationId xmlns="" xmlns:a16="http://schemas.microsoft.com/office/drawing/2014/main" id="{EB6694D7-9D3C-431E-941A-95DFA20C56D8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51" name="Line 59447">
          <a:extLst>
            <a:ext uri="{FF2B5EF4-FFF2-40B4-BE49-F238E27FC236}">
              <a16:creationId xmlns="" xmlns:a16="http://schemas.microsoft.com/office/drawing/2014/main" id="{30DAF37E-378A-4114-8094-9D1DD5E067C4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52" name="Line 59467">
          <a:extLst>
            <a:ext uri="{FF2B5EF4-FFF2-40B4-BE49-F238E27FC236}">
              <a16:creationId xmlns="" xmlns:a16="http://schemas.microsoft.com/office/drawing/2014/main" id="{2B8EB00F-FC47-48C4-B2AC-9441051645FE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53" name="Line 59487">
          <a:extLst>
            <a:ext uri="{FF2B5EF4-FFF2-40B4-BE49-F238E27FC236}">
              <a16:creationId xmlns="" xmlns:a16="http://schemas.microsoft.com/office/drawing/2014/main" id="{B0F48279-D399-4BB1-A7C3-A2E469EA6760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54" name="Line 59509">
          <a:extLst>
            <a:ext uri="{FF2B5EF4-FFF2-40B4-BE49-F238E27FC236}">
              <a16:creationId xmlns="" xmlns:a16="http://schemas.microsoft.com/office/drawing/2014/main" id="{30C8E150-CA2E-463E-AAC7-2399FDBF1786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55" name="Line 59511">
          <a:extLst>
            <a:ext uri="{FF2B5EF4-FFF2-40B4-BE49-F238E27FC236}">
              <a16:creationId xmlns="" xmlns:a16="http://schemas.microsoft.com/office/drawing/2014/main" id="{B4C95297-8EA7-4840-8731-D91090AE7651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38100</xdr:rowOff>
    </xdr:from>
    <xdr:to>
      <xdr:col>5</xdr:col>
      <xdr:colOff>0</xdr:colOff>
      <xdr:row>57</xdr:row>
      <xdr:rowOff>393700</xdr:rowOff>
    </xdr:to>
    <xdr:sp macro="" textlink="">
      <xdr:nvSpPr>
        <xdr:cNvPr id="125556" name="Line 59513">
          <a:extLst>
            <a:ext uri="{FF2B5EF4-FFF2-40B4-BE49-F238E27FC236}">
              <a16:creationId xmlns="" xmlns:a16="http://schemas.microsoft.com/office/drawing/2014/main" id="{E31A4462-C7B1-41FE-B258-FCAD7CBB4B70}"/>
            </a:ext>
          </a:extLst>
        </xdr:cNvPr>
        <xdr:cNvSpPr>
          <a:spLocks noChangeShapeType="1"/>
        </xdr:cNvSpPr>
      </xdr:nvSpPr>
      <xdr:spPr bwMode="auto">
        <a:xfrm>
          <a:off x="912813" y="17984788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58" name="Line 59407">
          <a:extLst>
            <a:ext uri="{FF2B5EF4-FFF2-40B4-BE49-F238E27FC236}">
              <a16:creationId xmlns="" xmlns:a16="http://schemas.microsoft.com/office/drawing/2014/main" id="{5237EA89-BE72-4C45-AB7D-43FC6F7C2A1E}"/>
            </a:ext>
          </a:extLst>
        </xdr:cNvPr>
        <xdr:cNvSpPr>
          <a:spLocks noChangeShapeType="1"/>
        </xdr:cNvSpPr>
      </xdr:nvSpPr>
      <xdr:spPr bwMode="auto">
        <a:xfrm>
          <a:off x="912813" y="16714788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60" name="Line 59427">
          <a:extLst>
            <a:ext uri="{FF2B5EF4-FFF2-40B4-BE49-F238E27FC236}">
              <a16:creationId xmlns="" xmlns:a16="http://schemas.microsoft.com/office/drawing/2014/main" id="{B83C83F6-55A4-477C-9354-CFE1C80FEC8E}"/>
            </a:ext>
          </a:extLst>
        </xdr:cNvPr>
        <xdr:cNvSpPr>
          <a:spLocks noChangeShapeType="1"/>
        </xdr:cNvSpPr>
      </xdr:nvSpPr>
      <xdr:spPr bwMode="auto">
        <a:xfrm>
          <a:off x="912813" y="16714788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62" name="Line 59447">
          <a:extLst>
            <a:ext uri="{FF2B5EF4-FFF2-40B4-BE49-F238E27FC236}">
              <a16:creationId xmlns="" xmlns:a16="http://schemas.microsoft.com/office/drawing/2014/main" id="{485536EB-7C1C-46C6-B964-8289571225A4}"/>
            </a:ext>
          </a:extLst>
        </xdr:cNvPr>
        <xdr:cNvSpPr>
          <a:spLocks noChangeShapeType="1"/>
        </xdr:cNvSpPr>
      </xdr:nvSpPr>
      <xdr:spPr bwMode="auto">
        <a:xfrm>
          <a:off x="912813" y="16714788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64" name="Line 59467">
          <a:extLst>
            <a:ext uri="{FF2B5EF4-FFF2-40B4-BE49-F238E27FC236}">
              <a16:creationId xmlns="" xmlns:a16="http://schemas.microsoft.com/office/drawing/2014/main" id="{78354D70-52D5-4D2D-B25C-928EFCD462E1}"/>
            </a:ext>
          </a:extLst>
        </xdr:cNvPr>
        <xdr:cNvSpPr>
          <a:spLocks noChangeShapeType="1"/>
        </xdr:cNvSpPr>
      </xdr:nvSpPr>
      <xdr:spPr bwMode="auto">
        <a:xfrm>
          <a:off x="912813" y="16714788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66" name="Line 59487">
          <a:extLst>
            <a:ext uri="{FF2B5EF4-FFF2-40B4-BE49-F238E27FC236}">
              <a16:creationId xmlns="" xmlns:a16="http://schemas.microsoft.com/office/drawing/2014/main" id="{1CCBFABA-A1AA-4D53-A772-822E67D5F066}"/>
            </a:ext>
          </a:extLst>
        </xdr:cNvPr>
        <xdr:cNvSpPr>
          <a:spLocks noChangeShapeType="1"/>
        </xdr:cNvSpPr>
      </xdr:nvSpPr>
      <xdr:spPr bwMode="auto">
        <a:xfrm>
          <a:off x="912813" y="16714788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68" name="Line 59509">
          <a:extLst>
            <a:ext uri="{FF2B5EF4-FFF2-40B4-BE49-F238E27FC236}">
              <a16:creationId xmlns="" xmlns:a16="http://schemas.microsoft.com/office/drawing/2014/main" id="{5C1DE131-0E41-493A-9955-4374F02CE7D0}"/>
            </a:ext>
          </a:extLst>
        </xdr:cNvPr>
        <xdr:cNvSpPr>
          <a:spLocks noChangeShapeType="1"/>
        </xdr:cNvSpPr>
      </xdr:nvSpPr>
      <xdr:spPr bwMode="auto">
        <a:xfrm>
          <a:off x="912813" y="16714788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70" name="Line 59511">
          <a:extLst>
            <a:ext uri="{FF2B5EF4-FFF2-40B4-BE49-F238E27FC236}">
              <a16:creationId xmlns="" xmlns:a16="http://schemas.microsoft.com/office/drawing/2014/main" id="{38591E98-F07E-4491-81EF-A4174EDE2AE0}"/>
            </a:ext>
          </a:extLst>
        </xdr:cNvPr>
        <xdr:cNvSpPr>
          <a:spLocks noChangeShapeType="1"/>
        </xdr:cNvSpPr>
      </xdr:nvSpPr>
      <xdr:spPr bwMode="auto">
        <a:xfrm>
          <a:off x="912813" y="16714788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53</xdr:row>
      <xdr:rowOff>38100</xdr:rowOff>
    </xdr:from>
    <xdr:to>
      <xdr:col>5</xdr:col>
      <xdr:colOff>0</xdr:colOff>
      <xdr:row>53</xdr:row>
      <xdr:rowOff>393700</xdr:rowOff>
    </xdr:to>
    <xdr:sp macro="" textlink="">
      <xdr:nvSpPr>
        <xdr:cNvPr id="125572" name="Line 59513">
          <a:extLst>
            <a:ext uri="{FF2B5EF4-FFF2-40B4-BE49-F238E27FC236}">
              <a16:creationId xmlns="" xmlns:a16="http://schemas.microsoft.com/office/drawing/2014/main" id="{EDC83EDA-4A32-4E03-A883-6A99D7F38F87}"/>
            </a:ext>
          </a:extLst>
        </xdr:cNvPr>
        <xdr:cNvSpPr>
          <a:spLocks noChangeShapeType="1"/>
        </xdr:cNvSpPr>
      </xdr:nvSpPr>
      <xdr:spPr bwMode="auto">
        <a:xfrm>
          <a:off x="912813" y="16714788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73" name="Line 59406">
          <a:extLst>
            <a:ext uri="{FF2B5EF4-FFF2-40B4-BE49-F238E27FC236}">
              <a16:creationId xmlns="" xmlns:a16="http://schemas.microsoft.com/office/drawing/2014/main" id="{3DE2DECC-2405-4830-89C3-0D1E9ED1C463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574" name="Line 59407">
          <a:extLst>
            <a:ext uri="{FF2B5EF4-FFF2-40B4-BE49-F238E27FC236}">
              <a16:creationId xmlns="" xmlns:a16="http://schemas.microsoft.com/office/drawing/2014/main" id="{DC7610F1-17BD-4857-A1D3-323BEB0C8D8F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75" name="Line 59426">
          <a:extLst>
            <a:ext uri="{FF2B5EF4-FFF2-40B4-BE49-F238E27FC236}">
              <a16:creationId xmlns="" xmlns:a16="http://schemas.microsoft.com/office/drawing/2014/main" id="{89373A4F-BFE8-450D-917F-A208860AFE95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576" name="Line 59427">
          <a:extLst>
            <a:ext uri="{FF2B5EF4-FFF2-40B4-BE49-F238E27FC236}">
              <a16:creationId xmlns="" xmlns:a16="http://schemas.microsoft.com/office/drawing/2014/main" id="{98153619-368F-4836-A36C-2AA69D53D9A4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77" name="Line 59446">
          <a:extLst>
            <a:ext uri="{FF2B5EF4-FFF2-40B4-BE49-F238E27FC236}">
              <a16:creationId xmlns="" xmlns:a16="http://schemas.microsoft.com/office/drawing/2014/main" id="{4ECE5E21-090E-4BEC-9661-A7B29641381C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578" name="Line 59447">
          <a:extLst>
            <a:ext uri="{FF2B5EF4-FFF2-40B4-BE49-F238E27FC236}">
              <a16:creationId xmlns="" xmlns:a16="http://schemas.microsoft.com/office/drawing/2014/main" id="{B261C7AA-71C0-4AE9-8843-D02EE9834F03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79" name="Line 59466">
          <a:extLst>
            <a:ext uri="{FF2B5EF4-FFF2-40B4-BE49-F238E27FC236}">
              <a16:creationId xmlns="" xmlns:a16="http://schemas.microsoft.com/office/drawing/2014/main" id="{9EE10C3F-22DB-4BE6-A28E-912BD7126646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580" name="Line 59467">
          <a:extLst>
            <a:ext uri="{FF2B5EF4-FFF2-40B4-BE49-F238E27FC236}">
              <a16:creationId xmlns="" xmlns:a16="http://schemas.microsoft.com/office/drawing/2014/main" id="{D2FC5E85-8F6B-455E-94F6-4ED0C9B3C89E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81" name="Line 59486">
          <a:extLst>
            <a:ext uri="{FF2B5EF4-FFF2-40B4-BE49-F238E27FC236}">
              <a16:creationId xmlns="" xmlns:a16="http://schemas.microsoft.com/office/drawing/2014/main" id="{071A5027-25CB-46D2-B8DA-4830EAECC2EB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582" name="Line 59487">
          <a:extLst>
            <a:ext uri="{FF2B5EF4-FFF2-40B4-BE49-F238E27FC236}">
              <a16:creationId xmlns="" xmlns:a16="http://schemas.microsoft.com/office/drawing/2014/main" id="{CBE36C5F-D731-4677-AD12-927A3416A79E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83" name="Line 59508">
          <a:extLst>
            <a:ext uri="{FF2B5EF4-FFF2-40B4-BE49-F238E27FC236}">
              <a16:creationId xmlns="" xmlns:a16="http://schemas.microsoft.com/office/drawing/2014/main" id="{3BF7B318-EB20-4FC3-AE80-85A4FF3B3F70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584" name="Line 59509">
          <a:extLst>
            <a:ext uri="{FF2B5EF4-FFF2-40B4-BE49-F238E27FC236}">
              <a16:creationId xmlns="" xmlns:a16="http://schemas.microsoft.com/office/drawing/2014/main" id="{8C889A51-F851-4385-B7CD-DC0D1BCAF3F5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85" name="Line 59510">
          <a:extLst>
            <a:ext uri="{FF2B5EF4-FFF2-40B4-BE49-F238E27FC236}">
              <a16:creationId xmlns="" xmlns:a16="http://schemas.microsoft.com/office/drawing/2014/main" id="{76F603F0-CA99-4983-8FC2-A60586057A73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586" name="Line 59511">
          <a:extLst>
            <a:ext uri="{FF2B5EF4-FFF2-40B4-BE49-F238E27FC236}">
              <a16:creationId xmlns="" xmlns:a16="http://schemas.microsoft.com/office/drawing/2014/main" id="{1B46ABEB-1A0A-476C-B9EF-9FABCD1B8FFA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87" name="Line 59512">
          <a:extLst>
            <a:ext uri="{FF2B5EF4-FFF2-40B4-BE49-F238E27FC236}">
              <a16:creationId xmlns="" xmlns:a16="http://schemas.microsoft.com/office/drawing/2014/main" id="{E36CCE64-24CE-4938-BD5C-EACF1CA1D6A9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588" name="Line 59513">
          <a:extLst>
            <a:ext uri="{FF2B5EF4-FFF2-40B4-BE49-F238E27FC236}">
              <a16:creationId xmlns="" xmlns:a16="http://schemas.microsoft.com/office/drawing/2014/main" id="{A62F3B0C-D23C-4CD3-8493-7E6828BB0826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89" name="Line 59402">
          <a:extLst>
            <a:ext uri="{FF2B5EF4-FFF2-40B4-BE49-F238E27FC236}">
              <a16:creationId xmlns="" xmlns:a16="http://schemas.microsoft.com/office/drawing/2014/main" id="{C95ED05E-5F60-4585-84EA-57A5BCB5C7F5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590" name="Line 59403">
          <a:extLst>
            <a:ext uri="{FF2B5EF4-FFF2-40B4-BE49-F238E27FC236}">
              <a16:creationId xmlns="" xmlns:a16="http://schemas.microsoft.com/office/drawing/2014/main" id="{911C5890-A1F0-4A2F-B00C-B552BED6321B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91" name="Line 59422">
          <a:extLst>
            <a:ext uri="{FF2B5EF4-FFF2-40B4-BE49-F238E27FC236}">
              <a16:creationId xmlns="" xmlns:a16="http://schemas.microsoft.com/office/drawing/2014/main" id="{2038808D-9A1B-4B8B-9446-3B62579D9728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592" name="Line 59423">
          <a:extLst>
            <a:ext uri="{FF2B5EF4-FFF2-40B4-BE49-F238E27FC236}">
              <a16:creationId xmlns="" xmlns:a16="http://schemas.microsoft.com/office/drawing/2014/main" id="{99E4632F-C0E8-49E1-AD92-DFEB3E1B0904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93" name="Line 59442">
          <a:extLst>
            <a:ext uri="{FF2B5EF4-FFF2-40B4-BE49-F238E27FC236}">
              <a16:creationId xmlns="" xmlns:a16="http://schemas.microsoft.com/office/drawing/2014/main" id="{037A1AAE-B795-458F-AB10-AC3422EEF325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594" name="Line 59443">
          <a:extLst>
            <a:ext uri="{FF2B5EF4-FFF2-40B4-BE49-F238E27FC236}">
              <a16:creationId xmlns="" xmlns:a16="http://schemas.microsoft.com/office/drawing/2014/main" id="{777DDCD8-D1BA-4592-8EF9-093FE9E93BA8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95" name="Line 59462">
          <a:extLst>
            <a:ext uri="{FF2B5EF4-FFF2-40B4-BE49-F238E27FC236}">
              <a16:creationId xmlns="" xmlns:a16="http://schemas.microsoft.com/office/drawing/2014/main" id="{10496B19-30E9-49F8-8C95-EFDFA6B998F7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596" name="Line 59463">
          <a:extLst>
            <a:ext uri="{FF2B5EF4-FFF2-40B4-BE49-F238E27FC236}">
              <a16:creationId xmlns="" xmlns:a16="http://schemas.microsoft.com/office/drawing/2014/main" id="{C264FBE6-1D2A-435D-B6F9-9D112A9C31FB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97" name="Line 59482">
          <a:extLst>
            <a:ext uri="{FF2B5EF4-FFF2-40B4-BE49-F238E27FC236}">
              <a16:creationId xmlns="" xmlns:a16="http://schemas.microsoft.com/office/drawing/2014/main" id="{EF8ED6F2-5736-4FAA-A50C-50CEE8E2F4AC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598" name="Line 59483">
          <a:extLst>
            <a:ext uri="{FF2B5EF4-FFF2-40B4-BE49-F238E27FC236}">
              <a16:creationId xmlns="" xmlns:a16="http://schemas.microsoft.com/office/drawing/2014/main" id="{794F73AA-8D44-46EC-A8B9-756010E600D8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599" name="Line 59502">
          <a:extLst>
            <a:ext uri="{FF2B5EF4-FFF2-40B4-BE49-F238E27FC236}">
              <a16:creationId xmlns="" xmlns:a16="http://schemas.microsoft.com/office/drawing/2014/main" id="{C0FD89CB-0F76-4B7B-AC99-9D316FBACB27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00" name="Line 59503">
          <a:extLst>
            <a:ext uri="{FF2B5EF4-FFF2-40B4-BE49-F238E27FC236}">
              <a16:creationId xmlns="" xmlns:a16="http://schemas.microsoft.com/office/drawing/2014/main" id="{0EBB97FD-FF65-4866-958A-4BDAA4B5C664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01" name="Line 59406">
          <a:extLst>
            <a:ext uri="{FF2B5EF4-FFF2-40B4-BE49-F238E27FC236}">
              <a16:creationId xmlns="" xmlns:a16="http://schemas.microsoft.com/office/drawing/2014/main" id="{1F1C4E8F-F78D-4E4B-8852-43AD70C2994D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02" name="Line 59407">
          <a:extLst>
            <a:ext uri="{FF2B5EF4-FFF2-40B4-BE49-F238E27FC236}">
              <a16:creationId xmlns="" xmlns:a16="http://schemas.microsoft.com/office/drawing/2014/main" id="{D4BDEC3A-9CB2-4026-91AC-3D078BDF9A09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03" name="Line 59426">
          <a:extLst>
            <a:ext uri="{FF2B5EF4-FFF2-40B4-BE49-F238E27FC236}">
              <a16:creationId xmlns="" xmlns:a16="http://schemas.microsoft.com/office/drawing/2014/main" id="{320B24DA-2242-4A6B-B181-7CEFA8110C14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04" name="Line 59427">
          <a:extLst>
            <a:ext uri="{FF2B5EF4-FFF2-40B4-BE49-F238E27FC236}">
              <a16:creationId xmlns="" xmlns:a16="http://schemas.microsoft.com/office/drawing/2014/main" id="{208DD66C-C105-4600-9B0F-AEC51CAA6DB5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05" name="Line 59446">
          <a:extLst>
            <a:ext uri="{FF2B5EF4-FFF2-40B4-BE49-F238E27FC236}">
              <a16:creationId xmlns="" xmlns:a16="http://schemas.microsoft.com/office/drawing/2014/main" id="{044300C7-9ED3-42D4-AE59-4E22041682ED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06" name="Line 59447">
          <a:extLst>
            <a:ext uri="{FF2B5EF4-FFF2-40B4-BE49-F238E27FC236}">
              <a16:creationId xmlns="" xmlns:a16="http://schemas.microsoft.com/office/drawing/2014/main" id="{1B07BF32-785D-4C9E-9526-DD802D1EB256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07" name="Line 59466">
          <a:extLst>
            <a:ext uri="{FF2B5EF4-FFF2-40B4-BE49-F238E27FC236}">
              <a16:creationId xmlns="" xmlns:a16="http://schemas.microsoft.com/office/drawing/2014/main" id="{9A3E5C10-3C85-4794-97DD-EAC98AAB7CBA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08" name="Line 59467">
          <a:extLst>
            <a:ext uri="{FF2B5EF4-FFF2-40B4-BE49-F238E27FC236}">
              <a16:creationId xmlns="" xmlns:a16="http://schemas.microsoft.com/office/drawing/2014/main" id="{98B4E6A9-321A-4F2A-AB74-2EEE7B419AC1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09" name="Line 59486">
          <a:extLst>
            <a:ext uri="{FF2B5EF4-FFF2-40B4-BE49-F238E27FC236}">
              <a16:creationId xmlns="" xmlns:a16="http://schemas.microsoft.com/office/drawing/2014/main" id="{D984CD97-1B62-456F-BBCB-261E97C95975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10" name="Line 59487">
          <a:extLst>
            <a:ext uri="{FF2B5EF4-FFF2-40B4-BE49-F238E27FC236}">
              <a16:creationId xmlns="" xmlns:a16="http://schemas.microsoft.com/office/drawing/2014/main" id="{353B51CD-E991-492D-969B-5B102B6813CE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11" name="Line 59508">
          <a:extLst>
            <a:ext uri="{FF2B5EF4-FFF2-40B4-BE49-F238E27FC236}">
              <a16:creationId xmlns="" xmlns:a16="http://schemas.microsoft.com/office/drawing/2014/main" id="{68DEFF71-B501-4E09-B756-047008DE70C2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12" name="Line 59509">
          <a:extLst>
            <a:ext uri="{FF2B5EF4-FFF2-40B4-BE49-F238E27FC236}">
              <a16:creationId xmlns="" xmlns:a16="http://schemas.microsoft.com/office/drawing/2014/main" id="{08ECD733-5033-426A-9E04-7BEFB89FD7EB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13" name="Line 59510">
          <a:extLst>
            <a:ext uri="{FF2B5EF4-FFF2-40B4-BE49-F238E27FC236}">
              <a16:creationId xmlns="" xmlns:a16="http://schemas.microsoft.com/office/drawing/2014/main" id="{DE9179B0-0DA9-449C-B7EF-27553BE2CAAF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14" name="Line 59511">
          <a:extLst>
            <a:ext uri="{FF2B5EF4-FFF2-40B4-BE49-F238E27FC236}">
              <a16:creationId xmlns="" xmlns:a16="http://schemas.microsoft.com/office/drawing/2014/main" id="{B08E25FD-A20F-4412-A40E-95C6269B2D63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15" name="Line 59512">
          <a:extLst>
            <a:ext uri="{FF2B5EF4-FFF2-40B4-BE49-F238E27FC236}">
              <a16:creationId xmlns="" xmlns:a16="http://schemas.microsoft.com/office/drawing/2014/main" id="{6198364F-17E0-4DED-A903-96068D995253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16" name="Line 59513">
          <a:extLst>
            <a:ext uri="{FF2B5EF4-FFF2-40B4-BE49-F238E27FC236}">
              <a16:creationId xmlns="" xmlns:a16="http://schemas.microsoft.com/office/drawing/2014/main" id="{28D37EF2-8BCA-4B2F-977A-46363F9129B2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17" name="Line 59402">
          <a:extLst>
            <a:ext uri="{FF2B5EF4-FFF2-40B4-BE49-F238E27FC236}">
              <a16:creationId xmlns="" xmlns:a16="http://schemas.microsoft.com/office/drawing/2014/main" id="{26EC1E09-3A2B-4EC3-950B-0AD9246BEEE9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18" name="Line 59403">
          <a:extLst>
            <a:ext uri="{FF2B5EF4-FFF2-40B4-BE49-F238E27FC236}">
              <a16:creationId xmlns="" xmlns:a16="http://schemas.microsoft.com/office/drawing/2014/main" id="{75257790-CA5D-4541-8AFF-8F86F0B26F9E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19" name="Line 59422">
          <a:extLst>
            <a:ext uri="{FF2B5EF4-FFF2-40B4-BE49-F238E27FC236}">
              <a16:creationId xmlns="" xmlns:a16="http://schemas.microsoft.com/office/drawing/2014/main" id="{FAE490A1-458A-4626-A578-31EBF29ED13E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20" name="Line 59423">
          <a:extLst>
            <a:ext uri="{FF2B5EF4-FFF2-40B4-BE49-F238E27FC236}">
              <a16:creationId xmlns="" xmlns:a16="http://schemas.microsoft.com/office/drawing/2014/main" id="{8566BFD0-325F-4EE4-A940-23AC3B98BB94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21" name="Line 59442">
          <a:extLst>
            <a:ext uri="{FF2B5EF4-FFF2-40B4-BE49-F238E27FC236}">
              <a16:creationId xmlns="" xmlns:a16="http://schemas.microsoft.com/office/drawing/2014/main" id="{6029DF6A-2152-43D1-A893-461B7B62C17F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22" name="Line 59443">
          <a:extLst>
            <a:ext uri="{FF2B5EF4-FFF2-40B4-BE49-F238E27FC236}">
              <a16:creationId xmlns="" xmlns:a16="http://schemas.microsoft.com/office/drawing/2014/main" id="{0B6EED45-F37D-4CF4-A8AC-CFD3513A86A3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23" name="Line 59462">
          <a:extLst>
            <a:ext uri="{FF2B5EF4-FFF2-40B4-BE49-F238E27FC236}">
              <a16:creationId xmlns="" xmlns:a16="http://schemas.microsoft.com/office/drawing/2014/main" id="{9F21C835-A562-462F-A0B7-D339A81731B0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24" name="Line 59463">
          <a:extLst>
            <a:ext uri="{FF2B5EF4-FFF2-40B4-BE49-F238E27FC236}">
              <a16:creationId xmlns="" xmlns:a16="http://schemas.microsoft.com/office/drawing/2014/main" id="{C2644CE3-8E4F-4736-9347-EE33891ABB50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25" name="Line 59482">
          <a:extLst>
            <a:ext uri="{FF2B5EF4-FFF2-40B4-BE49-F238E27FC236}">
              <a16:creationId xmlns="" xmlns:a16="http://schemas.microsoft.com/office/drawing/2014/main" id="{83AAD6C6-D479-4BA8-8CF4-D8A19D93E590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26" name="Line 59483">
          <a:extLst>
            <a:ext uri="{FF2B5EF4-FFF2-40B4-BE49-F238E27FC236}">
              <a16:creationId xmlns="" xmlns:a16="http://schemas.microsoft.com/office/drawing/2014/main" id="{DEEB2736-48B0-4C95-864B-B86DF2B123BD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27" name="Line 59502">
          <a:extLst>
            <a:ext uri="{FF2B5EF4-FFF2-40B4-BE49-F238E27FC236}">
              <a16:creationId xmlns="" xmlns:a16="http://schemas.microsoft.com/office/drawing/2014/main" id="{115864EC-76D2-4058-A848-C72148E0E30A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28" name="Line 59503">
          <a:extLst>
            <a:ext uri="{FF2B5EF4-FFF2-40B4-BE49-F238E27FC236}">
              <a16:creationId xmlns="" xmlns:a16="http://schemas.microsoft.com/office/drawing/2014/main" id="{36E936E4-5207-4156-82EC-B39D7B794C97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29" name="Line 59406">
          <a:extLst>
            <a:ext uri="{FF2B5EF4-FFF2-40B4-BE49-F238E27FC236}">
              <a16:creationId xmlns="" xmlns:a16="http://schemas.microsoft.com/office/drawing/2014/main" id="{D21C4BEB-DA8E-4C84-8BF4-D82179C135A9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30" name="Line 59407">
          <a:extLst>
            <a:ext uri="{FF2B5EF4-FFF2-40B4-BE49-F238E27FC236}">
              <a16:creationId xmlns="" xmlns:a16="http://schemas.microsoft.com/office/drawing/2014/main" id="{F3FC56D3-F9F2-414D-9FAA-65E6D8A6A7FD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31" name="Line 59426">
          <a:extLst>
            <a:ext uri="{FF2B5EF4-FFF2-40B4-BE49-F238E27FC236}">
              <a16:creationId xmlns="" xmlns:a16="http://schemas.microsoft.com/office/drawing/2014/main" id="{09E0A874-B815-4023-ADD2-C4B7ECA14872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32" name="Line 59427">
          <a:extLst>
            <a:ext uri="{FF2B5EF4-FFF2-40B4-BE49-F238E27FC236}">
              <a16:creationId xmlns="" xmlns:a16="http://schemas.microsoft.com/office/drawing/2014/main" id="{491A26DF-EB65-463C-83AC-3BD20BA45B10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33" name="Line 59446">
          <a:extLst>
            <a:ext uri="{FF2B5EF4-FFF2-40B4-BE49-F238E27FC236}">
              <a16:creationId xmlns="" xmlns:a16="http://schemas.microsoft.com/office/drawing/2014/main" id="{6879C0F3-5B96-45A3-B4A6-243C9D962BE0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34" name="Line 59447">
          <a:extLst>
            <a:ext uri="{FF2B5EF4-FFF2-40B4-BE49-F238E27FC236}">
              <a16:creationId xmlns="" xmlns:a16="http://schemas.microsoft.com/office/drawing/2014/main" id="{8F07FEF0-83A5-4B0F-8256-A8C36AE9FD2C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35" name="Line 59466">
          <a:extLst>
            <a:ext uri="{FF2B5EF4-FFF2-40B4-BE49-F238E27FC236}">
              <a16:creationId xmlns="" xmlns:a16="http://schemas.microsoft.com/office/drawing/2014/main" id="{57A2AC7B-D602-459A-8922-52A46E91968D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36" name="Line 59467">
          <a:extLst>
            <a:ext uri="{FF2B5EF4-FFF2-40B4-BE49-F238E27FC236}">
              <a16:creationId xmlns="" xmlns:a16="http://schemas.microsoft.com/office/drawing/2014/main" id="{8809F3FB-F0CD-4DA7-952E-D625204A4E75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37" name="Line 59486">
          <a:extLst>
            <a:ext uri="{FF2B5EF4-FFF2-40B4-BE49-F238E27FC236}">
              <a16:creationId xmlns="" xmlns:a16="http://schemas.microsoft.com/office/drawing/2014/main" id="{8A5AE2F9-A406-4766-9A32-E409F50D12CA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38" name="Line 59487">
          <a:extLst>
            <a:ext uri="{FF2B5EF4-FFF2-40B4-BE49-F238E27FC236}">
              <a16:creationId xmlns="" xmlns:a16="http://schemas.microsoft.com/office/drawing/2014/main" id="{465ECC63-1AB2-4D4C-B23C-C03363B8D7D2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39" name="Line 59508">
          <a:extLst>
            <a:ext uri="{FF2B5EF4-FFF2-40B4-BE49-F238E27FC236}">
              <a16:creationId xmlns="" xmlns:a16="http://schemas.microsoft.com/office/drawing/2014/main" id="{7CA55B86-AC98-4887-928E-CFDD39682C48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40" name="Line 59509">
          <a:extLst>
            <a:ext uri="{FF2B5EF4-FFF2-40B4-BE49-F238E27FC236}">
              <a16:creationId xmlns="" xmlns:a16="http://schemas.microsoft.com/office/drawing/2014/main" id="{BBBDC322-35F4-4471-977E-085C9D17B42C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41" name="Line 59510">
          <a:extLst>
            <a:ext uri="{FF2B5EF4-FFF2-40B4-BE49-F238E27FC236}">
              <a16:creationId xmlns="" xmlns:a16="http://schemas.microsoft.com/office/drawing/2014/main" id="{A6F22FDF-EB0C-4831-BA45-E06F77FB9C88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42" name="Line 59511">
          <a:extLst>
            <a:ext uri="{FF2B5EF4-FFF2-40B4-BE49-F238E27FC236}">
              <a16:creationId xmlns="" xmlns:a16="http://schemas.microsoft.com/office/drawing/2014/main" id="{9D041507-A0A1-4AC8-8B7C-16E7FC3A1668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43" name="Line 59512">
          <a:extLst>
            <a:ext uri="{FF2B5EF4-FFF2-40B4-BE49-F238E27FC236}">
              <a16:creationId xmlns="" xmlns:a16="http://schemas.microsoft.com/office/drawing/2014/main" id="{ED1DED57-9BBE-43EE-A2EE-0B061669DBC9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44" name="Line 59513">
          <a:extLst>
            <a:ext uri="{FF2B5EF4-FFF2-40B4-BE49-F238E27FC236}">
              <a16:creationId xmlns="" xmlns:a16="http://schemas.microsoft.com/office/drawing/2014/main" id="{091E2D0B-7AAE-44A7-BB4B-A0E423F2EBA1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45" name="Line 59402">
          <a:extLst>
            <a:ext uri="{FF2B5EF4-FFF2-40B4-BE49-F238E27FC236}">
              <a16:creationId xmlns="" xmlns:a16="http://schemas.microsoft.com/office/drawing/2014/main" id="{E8A7CBC8-93CB-4447-96DB-5D88B74B6FCC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46" name="Line 59403">
          <a:extLst>
            <a:ext uri="{FF2B5EF4-FFF2-40B4-BE49-F238E27FC236}">
              <a16:creationId xmlns="" xmlns:a16="http://schemas.microsoft.com/office/drawing/2014/main" id="{AE573B22-CB60-48A1-B8BB-F2AEEE5F0EEF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47" name="Line 59422">
          <a:extLst>
            <a:ext uri="{FF2B5EF4-FFF2-40B4-BE49-F238E27FC236}">
              <a16:creationId xmlns="" xmlns:a16="http://schemas.microsoft.com/office/drawing/2014/main" id="{DC7D01DD-E5AF-435A-8403-1601C50E978E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48" name="Line 59423">
          <a:extLst>
            <a:ext uri="{FF2B5EF4-FFF2-40B4-BE49-F238E27FC236}">
              <a16:creationId xmlns="" xmlns:a16="http://schemas.microsoft.com/office/drawing/2014/main" id="{1F09B877-0977-4466-909D-B4A2B5D4E462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49" name="Line 59442">
          <a:extLst>
            <a:ext uri="{FF2B5EF4-FFF2-40B4-BE49-F238E27FC236}">
              <a16:creationId xmlns="" xmlns:a16="http://schemas.microsoft.com/office/drawing/2014/main" id="{66DA6814-DAC1-4DC8-952B-FE9CBBA72599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50" name="Line 59443">
          <a:extLst>
            <a:ext uri="{FF2B5EF4-FFF2-40B4-BE49-F238E27FC236}">
              <a16:creationId xmlns="" xmlns:a16="http://schemas.microsoft.com/office/drawing/2014/main" id="{AC31B5D8-D79B-4D84-BFA8-4E8BDFB46894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51" name="Line 59462">
          <a:extLst>
            <a:ext uri="{FF2B5EF4-FFF2-40B4-BE49-F238E27FC236}">
              <a16:creationId xmlns="" xmlns:a16="http://schemas.microsoft.com/office/drawing/2014/main" id="{88E5246F-F708-4488-8FD6-5EAD78CBF5F8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52" name="Line 59463">
          <a:extLst>
            <a:ext uri="{FF2B5EF4-FFF2-40B4-BE49-F238E27FC236}">
              <a16:creationId xmlns="" xmlns:a16="http://schemas.microsoft.com/office/drawing/2014/main" id="{C2F8221E-DB12-4C40-9DCA-4FD8C31A230D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53" name="Line 59482">
          <a:extLst>
            <a:ext uri="{FF2B5EF4-FFF2-40B4-BE49-F238E27FC236}">
              <a16:creationId xmlns="" xmlns:a16="http://schemas.microsoft.com/office/drawing/2014/main" id="{291B8754-0942-4934-BC6B-EF9FD57221E4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54" name="Line 59483">
          <a:extLst>
            <a:ext uri="{FF2B5EF4-FFF2-40B4-BE49-F238E27FC236}">
              <a16:creationId xmlns="" xmlns:a16="http://schemas.microsoft.com/office/drawing/2014/main" id="{D966B022-7349-4773-9C4A-59AA1E4BD543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55" name="Line 59502">
          <a:extLst>
            <a:ext uri="{FF2B5EF4-FFF2-40B4-BE49-F238E27FC236}">
              <a16:creationId xmlns="" xmlns:a16="http://schemas.microsoft.com/office/drawing/2014/main" id="{E9726520-DC0A-4837-835D-F175E290AAAD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56" name="Line 59503">
          <a:extLst>
            <a:ext uri="{FF2B5EF4-FFF2-40B4-BE49-F238E27FC236}">
              <a16:creationId xmlns="" xmlns:a16="http://schemas.microsoft.com/office/drawing/2014/main" id="{4F5D68D9-69C4-4517-87AD-8782DE1595F1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57" name="Line 59406">
          <a:extLst>
            <a:ext uri="{FF2B5EF4-FFF2-40B4-BE49-F238E27FC236}">
              <a16:creationId xmlns="" xmlns:a16="http://schemas.microsoft.com/office/drawing/2014/main" id="{71267E3B-772B-48DC-9200-3185C5A27608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58" name="Line 59407">
          <a:extLst>
            <a:ext uri="{FF2B5EF4-FFF2-40B4-BE49-F238E27FC236}">
              <a16:creationId xmlns="" xmlns:a16="http://schemas.microsoft.com/office/drawing/2014/main" id="{A9FCEB22-63C3-44DC-810A-38936353A6CF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59" name="Line 59426">
          <a:extLst>
            <a:ext uri="{FF2B5EF4-FFF2-40B4-BE49-F238E27FC236}">
              <a16:creationId xmlns="" xmlns:a16="http://schemas.microsoft.com/office/drawing/2014/main" id="{C16D8FD6-C5A9-40DA-ADEB-BC6F65E8B327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60" name="Line 59427">
          <a:extLst>
            <a:ext uri="{FF2B5EF4-FFF2-40B4-BE49-F238E27FC236}">
              <a16:creationId xmlns="" xmlns:a16="http://schemas.microsoft.com/office/drawing/2014/main" id="{CB194CE6-337D-4040-A2A3-A627FBD448B6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61" name="Line 59446">
          <a:extLst>
            <a:ext uri="{FF2B5EF4-FFF2-40B4-BE49-F238E27FC236}">
              <a16:creationId xmlns="" xmlns:a16="http://schemas.microsoft.com/office/drawing/2014/main" id="{33797725-33DD-4912-95ED-3933075B26EA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62" name="Line 59447">
          <a:extLst>
            <a:ext uri="{FF2B5EF4-FFF2-40B4-BE49-F238E27FC236}">
              <a16:creationId xmlns="" xmlns:a16="http://schemas.microsoft.com/office/drawing/2014/main" id="{D1F7E53F-C97A-499D-A067-90C05B94C2A9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63" name="Line 59466">
          <a:extLst>
            <a:ext uri="{FF2B5EF4-FFF2-40B4-BE49-F238E27FC236}">
              <a16:creationId xmlns="" xmlns:a16="http://schemas.microsoft.com/office/drawing/2014/main" id="{9AB621C4-5DCC-46B6-808A-D51F42DFBACB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64" name="Line 59467">
          <a:extLst>
            <a:ext uri="{FF2B5EF4-FFF2-40B4-BE49-F238E27FC236}">
              <a16:creationId xmlns="" xmlns:a16="http://schemas.microsoft.com/office/drawing/2014/main" id="{6016F8FA-6952-4112-907E-B6EF8E035258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65" name="Line 59486">
          <a:extLst>
            <a:ext uri="{FF2B5EF4-FFF2-40B4-BE49-F238E27FC236}">
              <a16:creationId xmlns="" xmlns:a16="http://schemas.microsoft.com/office/drawing/2014/main" id="{012B45CF-55B1-4EAD-B061-7BF9E734C39B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66" name="Line 59487">
          <a:extLst>
            <a:ext uri="{FF2B5EF4-FFF2-40B4-BE49-F238E27FC236}">
              <a16:creationId xmlns="" xmlns:a16="http://schemas.microsoft.com/office/drawing/2014/main" id="{64142C4B-C15F-43F5-BDBB-56E3B239AB3C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67" name="Line 59508">
          <a:extLst>
            <a:ext uri="{FF2B5EF4-FFF2-40B4-BE49-F238E27FC236}">
              <a16:creationId xmlns="" xmlns:a16="http://schemas.microsoft.com/office/drawing/2014/main" id="{57CE1DA6-104C-4A6E-B869-7502BAF53089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68" name="Line 59509">
          <a:extLst>
            <a:ext uri="{FF2B5EF4-FFF2-40B4-BE49-F238E27FC236}">
              <a16:creationId xmlns="" xmlns:a16="http://schemas.microsoft.com/office/drawing/2014/main" id="{462F4B2F-76FA-42FD-9844-4646CBB01C99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69" name="Line 59510">
          <a:extLst>
            <a:ext uri="{FF2B5EF4-FFF2-40B4-BE49-F238E27FC236}">
              <a16:creationId xmlns="" xmlns:a16="http://schemas.microsoft.com/office/drawing/2014/main" id="{F269A732-26B4-4556-B991-AC057F2D0031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70" name="Line 59511">
          <a:extLst>
            <a:ext uri="{FF2B5EF4-FFF2-40B4-BE49-F238E27FC236}">
              <a16:creationId xmlns="" xmlns:a16="http://schemas.microsoft.com/office/drawing/2014/main" id="{6334D294-4C13-4C24-8EBD-8F7758FC6A25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71" name="Line 59512">
          <a:extLst>
            <a:ext uri="{FF2B5EF4-FFF2-40B4-BE49-F238E27FC236}">
              <a16:creationId xmlns="" xmlns:a16="http://schemas.microsoft.com/office/drawing/2014/main" id="{E3768C99-D652-47E6-9012-2BFE27D6F4E7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72" name="Line 59513">
          <a:extLst>
            <a:ext uri="{FF2B5EF4-FFF2-40B4-BE49-F238E27FC236}">
              <a16:creationId xmlns="" xmlns:a16="http://schemas.microsoft.com/office/drawing/2014/main" id="{742FB60F-B922-427E-9B81-6FDBB9C1983C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73" name="Line 59402">
          <a:extLst>
            <a:ext uri="{FF2B5EF4-FFF2-40B4-BE49-F238E27FC236}">
              <a16:creationId xmlns="" xmlns:a16="http://schemas.microsoft.com/office/drawing/2014/main" id="{D285E65B-FF40-4C3B-916E-9B2733EEDB0F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74" name="Line 59403">
          <a:extLst>
            <a:ext uri="{FF2B5EF4-FFF2-40B4-BE49-F238E27FC236}">
              <a16:creationId xmlns="" xmlns:a16="http://schemas.microsoft.com/office/drawing/2014/main" id="{848B7073-D686-45E3-ACD1-ED0A3D291563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75" name="Line 59422">
          <a:extLst>
            <a:ext uri="{FF2B5EF4-FFF2-40B4-BE49-F238E27FC236}">
              <a16:creationId xmlns="" xmlns:a16="http://schemas.microsoft.com/office/drawing/2014/main" id="{D22063E4-4445-4B84-86A5-A32591CA8675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76" name="Line 59423">
          <a:extLst>
            <a:ext uri="{FF2B5EF4-FFF2-40B4-BE49-F238E27FC236}">
              <a16:creationId xmlns="" xmlns:a16="http://schemas.microsoft.com/office/drawing/2014/main" id="{B1526338-641F-4A9A-A531-1415F5F35EBB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77" name="Line 59442">
          <a:extLst>
            <a:ext uri="{FF2B5EF4-FFF2-40B4-BE49-F238E27FC236}">
              <a16:creationId xmlns="" xmlns:a16="http://schemas.microsoft.com/office/drawing/2014/main" id="{B3EC788F-D377-4E1C-B08D-F03ABD25C2FD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78" name="Line 59443">
          <a:extLst>
            <a:ext uri="{FF2B5EF4-FFF2-40B4-BE49-F238E27FC236}">
              <a16:creationId xmlns="" xmlns:a16="http://schemas.microsoft.com/office/drawing/2014/main" id="{E12ED138-E2AF-4BB2-87F1-6C752B87B2DF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79" name="Line 59462">
          <a:extLst>
            <a:ext uri="{FF2B5EF4-FFF2-40B4-BE49-F238E27FC236}">
              <a16:creationId xmlns="" xmlns:a16="http://schemas.microsoft.com/office/drawing/2014/main" id="{B3AA5828-0A58-456B-BCBC-99270FAA3E13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80" name="Line 59463">
          <a:extLst>
            <a:ext uri="{FF2B5EF4-FFF2-40B4-BE49-F238E27FC236}">
              <a16:creationId xmlns="" xmlns:a16="http://schemas.microsoft.com/office/drawing/2014/main" id="{1BEEA790-D104-411E-B07B-71868FAF8A29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80</xdr:row>
      <xdr:rowOff>0</xdr:rowOff>
    </xdr:from>
    <xdr:to>
      <xdr:col>11</xdr:col>
      <xdr:colOff>25400</xdr:colOff>
      <xdr:row>80</xdr:row>
      <xdr:rowOff>0</xdr:rowOff>
    </xdr:to>
    <xdr:sp macro="" textlink="">
      <xdr:nvSpPr>
        <xdr:cNvPr id="125681" name="Line 59482">
          <a:extLst>
            <a:ext uri="{FF2B5EF4-FFF2-40B4-BE49-F238E27FC236}">
              <a16:creationId xmlns="" xmlns:a16="http://schemas.microsoft.com/office/drawing/2014/main" id="{98FDEE39-E0C8-4D0A-9ECE-A9FB8FE576FE}"/>
            </a:ext>
          </a:extLst>
        </xdr:cNvPr>
        <xdr:cNvSpPr>
          <a:spLocks noChangeShapeType="1"/>
        </xdr:cNvSpPr>
      </xdr:nvSpPr>
      <xdr:spPr bwMode="auto">
        <a:xfrm>
          <a:off x="315913" y="2486025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82" name="Line 59483">
          <a:extLst>
            <a:ext uri="{FF2B5EF4-FFF2-40B4-BE49-F238E27FC236}">
              <a16:creationId xmlns="" xmlns:a16="http://schemas.microsoft.com/office/drawing/2014/main" id="{8F52CE35-3544-472C-8B91-242F480D3A12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19050</xdr:rowOff>
    </xdr:from>
    <xdr:to>
      <xdr:col>5</xdr:col>
      <xdr:colOff>0</xdr:colOff>
      <xdr:row>80</xdr:row>
      <xdr:rowOff>266700</xdr:rowOff>
    </xdr:to>
    <xdr:sp macro="" textlink="">
      <xdr:nvSpPr>
        <xdr:cNvPr id="125683" name="Line 59503">
          <a:extLst>
            <a:ext uri="{FF2B5EF4-FFF2-40B4-BE49-F238E27FC236}">
              <a16:creationId xmlns="" xmlns:a16="http://schemas.microsoft.com/office/drawing/2014/main" id="{FC252E24-B354-48D1-9A41-F9D3193B688A}"/>
            </a:ext>
          </a:extLst>
        </xdr:cNvPr>
        <xdr:cNvSpPr>
          <a:spLocks noChangeShapeType="1"/>
        </xdr:cNvSpPr>
      </xdr:nvSpPr>
      <xdr:spPr bwMode="auto">
        <a:xfrm>
          <a:off x="912813" y="2487930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84" name="Line 59407">
          <a:extLst>
            <a:ext uri="{FF2B5EF4-FFF2-40B4-BE49-F238E27FC236}">
              <a16:creationId xmlns="" xmlns:a16="http://schemas.microsoft.com/office/drawing/2014/main" id="{B536B850-618C-4D3D-9D1E-19FD736C4D21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85" name="Line 59427">
          <a:extLst>
            <a:ext uri="{FF2B5EF4-FFF2-40B4-BE49-F238E27FC236}">
              <a16:creationId xmlns="" xmlns:a16="http://schemas.microsoft.com/office/drawing/2014/main" id="{C9DC7D5D-DFA2-48BE-A8CA-80DB339307A7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86" name="Line 59447">
          <a:extLst>
            <a:ext uri="{FF2B5EF4-FFF2-40B4-BE49-F238E27FC236}">
              <a16:creationId xmlns="" xmlns:a16="http://schemas.microsoft.com/office/drawing/2014/main" id="{18796CF1-29C8-4871-8155-22B8DFEA39F6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87" name="Line 59467">
          <a:extLst>
            <a:ext uri="{FF2B5EF4-FFF2-40B4-BE49-F238E27FC236}">
              <a16:creationId xmlns="" xmlns:a16="http://schemas.microsoft.com/office/drawing/2014/main" id="{BD1B45AE-5BB0-41BC-8C4A-E0B5D2B377AC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88" name="Line 59487">
          <a:extLst>
            <a:ext uri="{FF2B5EF4-FFF2-40B4-BE49-F238E27FC236}">
              <a16:creationId xmlns="" xmlns:a16="http://schemas.microsoft.com/office/drawing/2014/main" id="{0F9E2843-4AA6-4FA9-B7D1-6EB79D43596C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89" name="Line 59509">
          <a:extLst>
            <a:ext uri="{FF2B5EF4-FFF2-40B4-BE49-F238E27FC236}">
              <a16:creationId xmlns="" xmlns:a16="http://schemas.microsoft.com/office/drawing/2014/main" id="{ECD5CC38-87D0-4340-B230-1313E773E93C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90" name="Line 59511">
          <a:extLst>
            <a:ext uri="{FF2B5EF4-FFF2-40B4-BE49-F238E27FC236}">
              <a16:creationId xmlns="" xmlns:a16="http://schemas.microsoft.com/office/drawing/2014/main" id="{B83E7C09-A526-463B-A509-9EEBF7A6FFA2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691" name="Line 59513">
          <a:extLst>
            <a:ext uri="{FF2B5EF4-FFF2-40B4-BE49-F238E27FC236}">
              <a16:creationId xmlns="" xmlns:a16="http://schemas.microsoft.com/office/drawing/2014/main" id="{4A45058F-2D88-4BE3-9DFF-43EAB7F93C03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692" name="Line 59406">
          <a:extLst>
            <a:ext uri="{FF2B5EF4-FFF2-40B4-BE49-F238E27FC236}">
              <a16:creationId xmlns="" xmlns:a16="http://schemas.microsoft.com/office/drawing/2014/main" id="{5855154E-C25F-4BC2-8AD0-AF10A3E866D7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693" name="Line 59407">
          <a:extLst>
            <a:ext uri="{FF2B5EF4-FFF2-40B4-BE49-F238E27FC236}">
              <a16:creationId xmlns="" xmlns:a16="http://schemas.microsoft.com/office/drawing/2014/main" id="{2B345EEA-1D60-4742-87A2-2BF3177C6C9F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694" name="Line 59426">
          <a:extLst>
            <a:ext uri="{FF2B5EF4-FFF2-40B4-BE49-F238E27FC236}">
              <a16:creationId xmlns="" xmlns:a16="http://schemas.microsoft.com/office/drawing/2014/main" id="{51852072-D525-4F64-AFAA-2F3C71A679E8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695" name="Line 59427">
          <a:extLst>
            <a:ext uri="{FF2B5EF4-FFF2-40B4-BE49-F238E27FC236}">
              <a16:creationId xmlns="" xmlns:a16="http://schemas.microsoft.com/office/drawing/2014/main" id="{F58C2298-3CEF-4B78-8714-F841112F2F56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696" name="Line 59446">
          <a:extLst>
            <a:ext uri="{FF2B5EF4-FFF2-40B4-BE49-F238E27FC236}">
              <a16:creationId xmlns="" xmlns:a16="http://schemas.microsoft.com/office/drawing/2014/main" id="{8BF79AB6-40A5-425D-AAC4-647878A5A4F9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697" name="Line 59447">
          <a:extLst>
            <a:ext uri="{FF2B5EF4-FFF2-40B4-BE49-F238E27FC236}">
              <a16:creationId xmlns="" xmlns:a16="http://schemas.microsoft.com/office/drawing/2014/main" id="{4CC61E3B-3E66-4DB0-B03A-16A388275453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698" name="Line 59466">
          <a:extLst>
            <a:ext uri="{FF2B5EF4-FFF2-40B4-BE49-F238E27FC236}">
              <a16:creationId xmlns="" xmlns:a16="http://schemas.microsoft.com/office/drawing/2014/main" id="{91061ED0-845F-4FAD-AEC3-AF7F5163E489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699" name="Line 59467">
          <a:extLst>
            <a:ext uri="{FF2B5EF4-FFF2-40B4-BE49-F238E27FC236}">
              <a16:creationId xmlns="" xmlns:a16="http://schemas.microsoft.com/office/drawing/2014/main" id="{CBBE656C-28C8-432B-8134-ACFBEDA27EBC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00" name="Line 59486">
          <a:extLst>
            <a:ext uri="{FF2B5EF4-FFF2-40B4-BE49-F238E27FC236}">
              <a16:creationId xmlns="" xmlns:a16="http://schemas.microsoft.com/office/drawing/2014/main" id="{BD94C2B0-5D0A-4E3B-A5B1-4C39752E8689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01" name="Line 59487">
          <a:extLst>
            <a:ext uri="{FF2B5EF4-FFF2-40B4-BE49-F238E27FC236}">
              <a16:creationId xmlns="" xmlns:a16="http://schemas.microsoft.com/office/drawing/2014/main" id="{D2B38E6F-7C64-478C-A091-401217A88C5F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02" name="Line 59508">
          <a:extLst>
            <a:ext uri="{FF2B5EF4-FFF2-40B4-BE49-F238E27FC236}">
              <a16:creationId xmlns="" xmlns:a16="http://schemas.microsoft.com/office/drawing/2014/main" id="{E0430BE1-0664-43D6-B769-DC1103AA76A0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03" name="Line 59509">
          <a:extLst>
            <a:ext uri="{FF2B5EF4-FFF2-40B4-BE49-F238E27FC236}">
              <a16:creationId xmlns="" xmlns:a16="http://schemas.microsoft.com/office/drawing/2014/main" id="{40E350D8-1D11-4892-B188-AAA63B8B2087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04" name="Line 59510">
          <a:extLst>
            <a:ext uri="{FF2B5EF4-FFF2-40B4-BE49-F238E27FC236}">
              <a16:creationId xmlns="" xmlns:a16="http://schemas.microsoft.com/office/drawing/2014/main" id="{6C03AE7D-192B-49A0-846D-730142BE09BD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05" name="Line 59511">
          <a:extLst>
            <a:ext uri="{FF2B5EF4-FFF2-40B4-BE49-F238E27FC236}">
              <a16:creationId xmlns="" xmlns:a16="http://schemas.microsoft.com/office/drawing/2014/main" id="{2ADC71BE-B18C-487F-9C57-5E21041A79C8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06" name="Line 59512">
          <a:extLst>
            <a:ext uri="{FF2B5EF4-FFF2-40B4-BE49-F238E27FC236}">
              <a16:creationId xmlns="" xmlns:a16="http://schemas.microsoft.com/office/drawing/2014/main" id="{5E8C1054-F96B-4970-A75A-C47C20AA5C9D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07" name="Line 59513">
          <a:extLst>
            <a:ext uri="{FF2B5EF4-FFF2-40B4-BE49-F238E27FC236}">
              <a16:creationId xmlns="" xmlns:a16="http://schemas.microsoft.com/office/drawing/2014/main" id="{A886C9E5-1C09-45E3-B9B9-D9DF65CECB08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08" name="Line 59402">
          <a:extLst>
            <a:ext uri="{FF2B5EF4-FFF2-40B4-BE49-F238E27FC236}">
              <a16:creationId xmlns="" xmlns:a16="http://schemas.microsoft.com/office/drawing/2014/main" id="{A1D3533C-9BF0-4BBD-A3E5-7CF41996AAB1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09" name="Line 59403">
          <a:extLst>
            <a:ext uri="{FF2B5EF4-FFF2-40B4-BE49-F238E27FC236}">
              <a16:creationId xmlns="" xmlns:a16="http://schemas.microsoft.com/office/drawing/2014/main" id="{EF322607-9C32-4287-B934-BE7D21797E98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10" name="Line 59422">
          <a:extLst>
            <a:ext uri="{FF2B5EF4-FFF2-40B4-BE49-F238E27FC236}">
              <a16:creationId xmlns="" xmlns:a16="http://schemas.microsoft.com/office/drawing/2014/main" id="{E9D9BB37-5E47-4816-991B-EF04B12D7332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11" name="Line 59423">
          <a:extLst>
            <a:ext uri="{FF2B5EF4-FFF2-40B4-BE49-F238E27FC236}">
              <a16:creationId xmlns="" xmlns:a16="http://schemas.microsoft.com/office/drawing/2014/main" id="{EA753A76-1121-44BC-BF99-4AAD7D954848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12" name="Line 59442">
          <a:extLst>
            <a:ext uri="{FF2B5EF4-FFF2-40B4-BE49-F238E27FC236}">
              <a16:creationId xmlns="" xmlns:a16="http://schemas.microsoft.com/office/drawing/2014/main" id="{36EC6976-A793-477F-BFBC-EE2728FB9C27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13" name="Line 59443">
          <a:extLst>
            <a:ext uri="{FF2B5EF4-FFF2-40B4-BE49-F238E27FC236}">
              <a16:creationId xmlns="" xmlns:a16="http://schemas.microsoft.com/office/drawing/2014/main" id="{024FF6C4-6F30-4490-832D-B0CE33068565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14" name="Line 59462">
          <a:extLst>
            <a:ext uri="{FF2B5EF4-FFF2-40B4-BE49-F238E27FC236}">
              <a16:creationId xmlns="" xmlns:a16="http://schemas.microsoft.com/office/drawing/2014/main" id="{9058C657-D1AF-48DE-8E43-0CC675199362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15" name="Line 59463">
          <a:extLst>
            <a:ext uri="{FF2B5EF4-FFF2-40B4-BE49-F238E27FC236}">
              <a16:creationId xmlns="" xmlns:a16="http://schemas.microsoft.com/office/drawing/2014/main" id="{47197134-A32D-4731-8001-71E4A8F7C74F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16" name="Line 59482">
          <a:extLst>
            <a:ext uri="{FF2B5EF4-FFF2-40B4-BE49-F238E27FC236}">
              <a16:creationId xmlns="" xmlns:a16="http://schemas.microsoft.com/office/drawing/2014/main" id="{78663012-7981-469D-9A0B-D4A512D2B357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17" name="Line 59483">
          <a:extLst>
            <a:ext uri="{FF2B5EF4-FFF2-40B4-BE49-F238E27FC236}">
              <a16:creationId xmlns="" xmlns:a16="http://schemas.microsoft.com/office/drawing/2014/main" id="{2CFC04A4-CF9C-4BEB-A8B3-341BA549B609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18" name="Line 59502">
          <a:extLst>
            <a:ext uri="{FF2B5EF4-FFF2-40B4-BE49-F238E27FC236}">
              <a16:creationId xmlns="" xmlns:a16="http://schemas.microsoft.com/office/drawing/2014/main" id="{614BBB6F-26C2-4F22-856E-53A58F52BAC8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19" name="Line 59503">
          <a:extLst>
            <a:ext uri="{FF2B5EF4-FFF2-40B4-BE49-F238E27FC236}">
              <a16:creationId xmlns="" xmlns:a16="http://schemas.microsoft.com/office/drawing/2014/main" id="{EF25D268-CCEA-4999-95A1-755BC60614F6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20" name="Line 59407">
          <a:extLst>
            <a:ext uri="{FF2B5EF4-FFF2-40B4-BE49-F238E27FC236}">
              <a16:creationId xmlns="" xmlns:a16="http://schemas.microsoft.com/office/drawing/2014/main" id="{C218F0EF-3F13-49C9-9404-953C5E8C9A50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21" name="Line 59427">
          <a:extLst>
            <a:ext uri="{FF2B5EF4-FFF2-40B4-BE49-F238E27FC236}">
              <a16:creationId xmlns="" xmlns:a16="http://schemas.microsoft.com/office/drawing/2014/main" id="{1514CEBE-76D9-4334-94A1-1CD33E0D96FD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22" name="Line 59447">
          <a:extLst>
            <a:ext uri="{FF2B5EF4-FFF2-40B4-BE49-F238E27FC236}">
              <a16:creationId xmlns="" xmlns:a16="http://schemas.microsoft.com/office/drawing/2014/main" id="{7C2F9AE6-9CEB-4B82-A8E7-434DC6000909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23" name="Line 59467">
          <a:extLst>
            <a:ext uri="{FF2B5EF4-FFF2-40B4-BE49-F238E27FC236}">
              <a16:creationId xmlns="" xmlns:a16="http://schemas.microsoft.com/office/drawing/2014/main" id="{3CD848E4-F7C6-4D39-99D4-21956CAF4C6A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24" name="Line 59487">
          <a:extLst>
            <a:ext uri="{FF2B5EF4-FFF2-40B4-BE49-F238E27FC236}">
              <a16:creationId xmlns="" xmlns:a16="http://schemas.microsoft.com/office/drawing/2014/main" id="{3B0A03D3-5E40-46BD-BE10-6FEB4669D0CC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25" name="Line 59509">
          <a:extLst>
            <a:ext uri="{FF2B5EF4-FFF2-40B4-BE49-F238E27FC236}">
              <a16:creationId xmlns="" xmlns:a16="http://schemas.microsoft.com/office/drawing/2014/main" id="{737CF69F-2BDD-47F9-9726-C3919C4AD340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26" name="Line 59511">
          <a:extLst>
            <a:ext uri="{FF2B5EF4-FFF2-40B4-BE49-F238E27FC236}">
              <a16:creationId xmlns="" xmlns:a16="http://schemas.microsoft.com/office/drawing/2014/main" id="{3D0F3BBE-BC70-43B1-A372-20FC9A8CD1F9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27" name="Line 59513">
          <a:extLst>
            <a:ext uri="{FF2B5EF4-FFF2-40B4-BE49-F238E27FC236}">
              <a16:creationId xmlns="" xmlns:a16="http://schemas.microsoft.com/office/drawing/2014/main" id="{5C01EDBD-17E5-4E16-916A-241ECF0DBB27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28" name="Line 59407">
          <a:extLst>
            <a:ext uri="{FF2B5EF4-FFF2-40B4-BE49-F238E27FC236}">
              <a16:creationId xmlns="" xmlns:a16="http://schemas.microsoft.com/office/drawing/2014/main" id="{855CDACA-8488-436B-A066-80BB12B42E28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29" name="Line 59427">
          <a:extLst>
            <a:ext uri="{FF2B5EF4-FFF2-40B4-BE49-F238E27FC236}">
              <a16:creationId xmlns="" xmlns:a16="http://schemas.microsoft.com/office/drawing/2014/main" id="{D9B466CF-1583-486F-9706-267B2B6BBE11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30" name="Line 59447">
          <a:extLst>
            <a:ext uri="{FF2B5EF4-FFF2-40B4-BE49-F238E27FC236}">
              <a16:creationId xmlns="" xmlns:a16="http://schemas.microsoft.com/office/drawing/2014/main" id="{94020F03-A5E3-40FB-AFBB-EB8B80DE8040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31" name="Line 59467">
          <a:extLst>
            <a:ext uri="{FF2B5EF4-FFF2-40B4-BE49-F238E27FC236}">
              <a16:creationId xmlns="" xmlns:a16="http://schemas.microsoft.com/office/drawing/2014/main" id="{E04BFAFC-53CE-494E-AE3A-901B198D2FF7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32" name="Line 59487">
          <a:extLst>
            <a:ext uri="{FF2B5EF4-FFF2-40B4-BE49-F238E27FC236}">
              <a16:creationId xmlns="" xmlns:a16="http://schemas.microsoft.com/office/drawing/2014/main" id="{E8537C74-45BA-4C5B-AB5A-25C59AFFD384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33" name="Line 59509">
          <a:extLst>
            <a:ext uri="{FF2B5EF4-FFF2-40B4-BE49-F238E27FC236}">
              <a16:creationId xmlns="" xmlns:a16="http://schemas.microsoft.com/office/drawing/2014/main" id="{5863DE5D-5BBB-485F-BE4A-F6CFA4A70E3C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34" name="Line 59511">
          <a:extLst>
            <a:ext uri="{FF2B5EF4-FFF2-40B4-BE49-F238E27FC236}">
              <a16:creationId xmlns="" xmlns:a16="http://schemas.microsoft.com/office/drawing/2014/main" id="{093ABB4A-43FA-49FB-A567-132D2541DB99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38100</xdr:rowOff>
    </xdr:from>
    <xdr:to>
      <xdr:col>5</xdr:col>
      <xdr:colOff>0</xdr:colOff>
      <xdr:row>80</xdr:row>
      <xdr:rowOff>393700</xdr:rowOff>
    </xdr:to>
    <xdr:sp macro="" textlink="">
      <xdr:nvSpPr>
        <xdr:cNvPr id="125735" name="Line 59513">
          <a:extLst>
            <a:ext uri="{FF2B5EF4-FFF2-40B4-BE49-F238E27FC236}">
              <a16:creationId xmlns="" xmlns:a16="http://schemas.microsoft.com/office/drawing/2014/main" id="{146FF275-60B5-4ECA-B801-D69C24465257}"/>
            </a:ext>
          </a:extLst>
        </xdr:cNvPr>
        <xdr:cNvSpPr>
          <a:spLocks noChangeShapeType="1"/>
        </xdr:cNvSpPr>
      </xdr:nvSpPr>
      <xdr:spPr bwMode="auto">
        <a:xfrm>
          <a:off x="912813" y="2489835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36" name="Line 59406">
          <a:extLst>
            <a:ext uri="{FF2B5EF4-FFF2-40B4-BE49-F238E27FC236}">
              <a16:creationId xmlns="" xmlns:a16="http://schemas.microsoft.com/office/drawing/2014/main" id="{77CD73F0-C95C-4EFB-81B4-D8EC30D042B3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37" name="Line 59407">
          <a:extLst>
            <a:ext uri="{FF2B5EF4-FFF2-40B4-BE49-F238E27FC236}">
              <a16:creationId xmlns="" xmlns:a16="http://schemas.microsoft.com/office/drawing/2014/main" id="{A05C69CC-A914-4C89-8B07-F4301A754198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38" name="Line 59426">
          <a:extLst>
            <a:ext uri="{FF2B5EF4-FFF2-40B4-BE49-F238E27FC236}">
              <a16:creationId xmlns="" xmlns:a16="http://schemas.microsoft.com/office/drawing/2014/main" id="{F9ED877A-4422-4D38-BBA9-7B778CF475FC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39" name="Line 59427">
          <a:extLst>
            <a:ext uri="{FF2B5EF4-FFF2-40B4-BE49-F238E27FC236}">
              <a16:creationId xmlns="" xmlns:a16="http://schemas.microsoft.com/office/drawing/2014/main" id="{B254E03F-92D7-428F-B305-DDA11CF30E02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40" name="Line 59446">
          <a:extLst>
            <a:ext uri="{FF2B5EF4-FFF2-40B4-BE49-F238E27FC236}">
              <a16:creationId xmlns="" xmlns:a16="http://schemas.microsoft.com/office/drawing/2014/main" id="{ECB9945E-8E09-4870-B639-8F535CB8265F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41" name="Line 59447">
          <a:extLst>
            <a:ext uri="{FF2B5EF4-FFF2-40B4-BE49-F238E27FC236}">
              <a16:creationId xmlns="" xmlns:a16="http://schemas.microsoft.com/office/drawing/2014/main" id="{1CE3F531-FDF0-4506-8FF1-F72032A41007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42" name="Line 59466">
          <a:extLst>
            <a:ext uri="{FF2B5EF4-FFF2-40B4-BE49-F238E27FC236}">
              <a16:creationId xmlns="" xmlns:a16="http://schemas.microsoft.com/office/drawing/2014/main" id="{2B8ECCA9-5D74-4BCB-A07A-18DD29AB58D5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43" name="Line 59467">
          <a:extLst>
            <a:ext uri="{FF2B5EF4-FFF2-40B4-BE49-F238E27FC236}">
              <a16:creationId xmlns="" xmlns:a16="http://schemas.microsoft.com/office/drawing/2014/main" id="{EF725783-CA91-4D0E-987F-B929F2F2B944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44" name="Line 59486">
          <a:extLst>
            <a:ext uri="{FF2B5EF4-FFF2-40B4-BE49-F238E27FC236}">
              <a16:creationId xmlns="" xmlns:a16="http://schemas.microsoft.com/office/drawing/2014/main" id="{75B0D3F9-53CF-4BC0-98B9-E4459544D1EA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45" name="Line 59487">
          <a:extLst>
            <a:ext uri="{FF2B5EF4-FFF2-40B4-BE49-F238E27FC236}">
              <a16:creationId xmlns="" xmlns:a16="http://schemas.microsoft.com/office/drawing/2014/main" id="{6E339E1F-BBD8-475D-B5C8-F335F1E8C7B9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46" name="Line 59508">
          <a:extLst>
            <a:ext uri="{FF2B5EF4-FFF2-40B4-BE49-F238E27FC236}">
              <a16:creationId xmlns="" xmlns:a16="http://schemas.microsoft.com/office/drawing/2014/main" id="{9C096FA2-EDB5-4ECC-A299-E5AB25059EC5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47" name="Line 59509">
          <a:extLst>
            <a:ext uri="{FF2B5EF4-FFF2-40B4-BE49-F238E27FC236}">
              <a16:creationId xmlns="" xmlns:a16="http://schemas.microsoft.com/office/drawing/2014/main" id="{DC24E281-7BC0-48FC-963A-CD4BFAF75C6B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48" name="Line 59510">
          <a:extLst>
            <a:ext uri="{FF2B5EF4-FFF2-40B4-BE49-F238E27FC236}">
              <a16:creationId xmlns="" xmlns:a16="http://schemas.microsoft.com/office/drawing/2014/main" id="{39DAC4BD-1A82-4005-A3BF-B455EE5224E5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49" name="Line 59511">
          <a:extLst>
            <a:ext uri="{FF2B5EF4-FFF2-40B4-BE49-F238E27FC236}">
              <a16:creationId xmlns="" xmlns:a16="http://schemas.microsoft.com/office/drawing/2014/main" id="{8EF11327-3FA0-40C6-853B-A17044230D4C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50" name="Line 59512">
          <a:extLst>
            <a:ext uri="{FF2B5EF4-FFF2-40B4-BE49-F238E27FC236}">
              <a16:creationId xmlns="" xmlns:a16="http://schemas.microsoft.com/office/drawing/2014/main" id="{6C5912C6-1B95-40BA-B7AE-8BE8CFF404F4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51" name="Line 59513">
          <a:extLst>
            <a:ext uri="{FF2B5EF4-FFF2-40B4-BE49-F238E27FC236}">
              <a16:creationId xmlns="" xmlns:a16="http://schemas.microsoft.com/office/drawing/2014/main" id="{93BF141C-81E3-4BFF-BC58-3697F1D630B6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52" name="Line 59402">
          <a:extLst>
            <a:ext uri="{FF2B5EF4-FFF2-40B4-BE49-F238E27FC236}">
              <a16:creationId xmlns="" xmlns:a16="http://schemas.microsoft.com/office/drawing/2014/main" id="{2C8BAD30-4D24-4144-AA62-CCBD1E6BDCDC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53" name="Line 59403">
          <a:extLst>
            <a:ext uri="{FF2B5EF4-FFF2-40B4-BE49-F238E27FC236}">
              <a16:creationId xmlns="" xmlns:a16="http://schemas.microsoft.com/office/drawing/2014/main" id="{15F17F0E-EBE1-46A5-8B84-CEE3BC121638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54" name="Line 59422">
          <a:extLst>
            <a:ext uri="{FF2B5EF4-FFF2-40B4-BE49-F238E27FC236}">
              <a16:creationId xmlns="" xmlns:a16="http://schemas.microsoft.com/office/drawing/2014/main" id="{E26871E8-B916-416A-BE55-73364F5AD091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55" name="Line 59423">
          <a:extLst>
            <a:ext uri="{FF2B5EF4-FFF2-40B4-BE49-F238E27FC236}">
              <a16:creationId xmlns="" xmlns:a16="http://schemas.microsoft.com/office/drawing/2014/main" id="{CAFBC540-5B72-4E64-B7F6-BA463E238789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56" name="Line 59442">
          <a:extLst>
            <a:ext uri="{FF2B5EF4-FFF2-40B4-BE49-F238E27FC236}">
              <a16:creationId xmlns="" xmlns:a16="http://schemas.microsoft.com/office/drawing/2014/main" id="{9B3D784B-AEFD-464C-98FA-8A464E3CD4BE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57" name="Line 59443">
          <a:extLst>
            <a:ext uri="{FF2B5EF4-FFF2-40B4-BE49-F238E27FC236}">
              <a16:creationId xmlns="" xmlns:a16="http://schemas.microsoft.com/office/drawing/2014/main" id="{A3279672-70C9-4094-9D57-A51B0A6FDA76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58" name="Line 59462">
          <a:extLst>
            <a:ext uri="{FF2B5EF4-FFF2-40B4-BE49-F238E27FC236}">
              <a16:creationId xmlns="" xmlns:a16="http://schemas.microsoft.com/office/drawing/2014/main" id="{4312683D-62EB-4125-8D99-528C9201C156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59" name="Line 59463">
          <a:extLst>
            <a:ext uri="{FF2B5EF4-FFF2-40B4-BE49-F238E27FC236}">
              <a16:creationId xmlns="" xmlns:a16="http://schemas.microsoft.com/office/drawing/2014/main" id="{E18A206F-2AD6-42DB-AE50-EC3EA54A7C50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60" name="Line 59482">
          <a:extLst>
            <a:ext uri="{FF2B5EF4-FFF2-40B4-BE49-F238E27FC236}">
              <a16:creationId xmlns="" xmlns:a16="http://schemas.microsoft.com/office/drawing/2014/main" id="{2CBC69A2-BF09-4878-8EE5-633BF81F40F1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61" name="Line 59483">
          <a:extLst>
            <a:ext uri="{FF2B5EF4-FFF2-40B4-BE49-F238E27FC236}">
              <a16:creationId xmlns="" xmlns:a16="http://schemas.microsoft.com/office/drawing/2014/main" id="{4F184C8C-CEED-45F5-B269-52DDBA7B1D2C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62" name="Line 59502">
          <a:extLst>
            <a:ext uri="{FF2B5EF4-FFF2-40B4-BE49-F238E27FC236}">
              <a16:creationId xmlns="" xmlns:a16="http://schemas.microsoft.com/office/drawing/2014/main" id="{8CFCC850-1DEE-4367-BDB6-25729CB30521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63" name="Line 59503">
          <a:extLst>
            <a:ext uri="{FF2B5EF4-FFF2-40B4-BE49-F238E27FC236}">
              <a16:creationId xmlns="" xmlns:a16="http://schemas.microsoft.com/office/drawing/2014/main" id="{CF19D716-A90B-4E1C-AED3-A71B14B57214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64" name="Line 59406">
          <a:extLst>
            <a:ext uri="{FF2B5EF4-FFF2-40B4-BE49-F238E27FC236}">
              <a16:creationId xmlns="" xmlns:a16="http://schemas.microsoft.com/office/drawing/2014/main" id="{A476EC6E-5C28-4FA1-A1F9-E5D414CB109B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65" name="Line 59407">
          <a:extLst>
            <a:ext uri="{FF2B5EF4-FFF2-40B4-BE49-F238E27FC236}">
              <a16:creationId xmlns="" xmlns:a16="http://schemas.microsoft.com/office/drawing/2014/main" id="{48A34DAD-9FB6-4BF4-8113-566688146E21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66" name="Line 59426">
          <a:extLst>
            <a:ext uri="{FF2B5EF4-FFF2-40B4-BE49-F238E27FC236}">
              <a16:creationId xmlns="" xmlns:a16="http://schemas.microsoft.com/office/drawing/2014/main" id="{D99E821B-5C91-4A50-B5B5-0601CCCD9D68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67" name="Line 59427">
          <a:extLst>
            <a:ext uri="{FF2B5EF4-FFF2-40B4-BE49-F238E27FC236}">
              <a16:creationId xmlns="" xmlns:a16="http://schemas.microsoft.com/office/drawing/2014/main" id="{DC1DFE21-2728-4B46-BC74-5CE74D193945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68" name="Line 59446">
          <a:extLst>
            <a:ext uri="{FF2B5EF4-FFF2-40B4-BE49-F238E27FC236}">
              <a16:creationId xmlns="" xmlns:a16="http://schemas.microsoft.com/office/drawing/2014/main" id="{CC779B21-B479-46E2-B05A-F5ED7483A1D6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69" name="Line 59447">
          <a:extLst>
            <a:ext uri="{FF2B5EF4-FFF2-40B4-BE49-F238E27FC236}">
              <a16:creationId xmlns="" xmlns:a16="http://schemas.microsoft.com/office/drawing/2014/main" id="{104A1068-080F-44E4-9134-089B9271A757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70" name="Line 59466">
          <a:extLst>
            <a:ext uri="{FF2B5EF4-FFF2-40B4-BE49-F238E27FC236}">
              <a16:creationId xmlns="" xmlns:a16="http://schemas.microsoft.com/office/drawing/2014/main" id="{4E23B187-A1DE-4935-AD8E-C5915CECE46A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71" name="Line 59467">
          <a:extLst>
            <a:ext uri="{FF2B5EF4-FFF2-40B4-BE49-F238E27FC236}">
              <a16:creationId xmlns="" xmlns:a16="http://schemas.microsoft.com/office/drawing/2014/main" id="{9F365E66-38E6-444F-8AF5-B4809D4812C3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72" name="Line 59486">
          <a:extLst>
            <a:ext uri="{FF2B5EF4-FFF2-40B4-BE49-F238E27FC236}">
              <a16:creationId xmlns="" xmlns:a16="http://schemas.microsoft.com/office/drawing/2014/main" id="{0D044FC5-2AD8-4C57-B13E-B5366A77F55A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73" name="Line 59487">
          <a:extLst>
            <a:ext uri="{FF2B5EF4-FFF2-40B4-BE49-F238E27FC236}">
              <a16:creationId xmlns="" xmlns:a16="http://schemas.microsoft.com/office/drawing/2014/main" id="{B7AEDDE3-6BDE-40CE-BAF7-F55CD7FB46A9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74" name="Line 59508">
          <a:extLst>
            <a:ext uri="{FF2B5EF4-FFF2-40B4-BE49-F238E27FC236}">
              <a16:creationId xmlns="" xmlns:a16="http://schemas.microsoft.com/office/drawing/2014/main" id="{3975F5B2-1E21-405E-BE1D-D6511B91D9FB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75" name="Line 59509">
          <a:extLst>
            <a:ext uri="{FF2B5EF4-FFF2-40B4-BE49-F238E27FC236}">
              <a16:creationId xmlns="" xmlns:a16="http://schemas.microsoft.com/office/drawing/2014/main" id="{DB556F70-62C8-4075-B707-BD182E4EA6CC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76" name="Line 59510">
          <a:extLst>
            <a:ext uri="{FF2B5EF4-FFF2-40B4-BE49-F238E27FC236}">
              <a16:creationId xmlns="" xmlns:a16="http://schemas.microsoft.com/office/drawing/2014/main" id="{4E335157-395E-4068-BC7E-E5EDEE91236C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77" name="Line 59511">
          <a:extLst>
            <a:ext uri="{FF2B5EF4-FFF2-40B4-BE49-F238E27FC236}">
              <a16:creationId xmlns="" xmlns:a16="http://schemas.microsoft.com/office/drawing/2014/main" id="{C8E3B33B-6949-4C3F-9275-41FADD8CC745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78" name="Line 59512">
          <a:extLst>
            <a:ext uri="{FF2B5EF4-FFF2-40B4-BE49-F238E27FC236}">
              <a16:creationId xmlns="" xmlns:a16="http://schemas.microsoft.com/office/drawing/2014/main" id="{5832A974-8395-462A-B474-5AF033710EE2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79" name="Line 59513">
          <a:extLst>
            <a:ext uri="{FF2B5EF4-FFF2-40B4-BE49-F238E27FC236}">
              <a16:creationId xmlns="" xmlns:a16="http://schemas.microsoft.com/office/drawing/2014/main" id="{E9600FCB-6ABA-4A39-9046-B6224667F5B9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80" name="Line 59402">
          <a:extLst>
            <a:ext uri="{FF2B5EF4-FFF2-40B4-BE49-F238E27FC236}">
              <a16:creationId xmlns="" xmlns:a16="http://schemas.microsoft.com/office/drawing/2014/main" id="{BE06FAE8-3E40-4D4E-9FAC-E89C1E103323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81" name="Line 59403">
          <a:extLst>
            <a:ext uri="{FF2B5EF4-FFF2-40B4-BE49-F238E27FC236}">
              <a16:creationId xmlns="" xmlns:a16="http://schemas.microsoft.com/office/drawing/2014/main" id="{49DD56C0-3761-4D60-8A22-5D03A4927B0F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82" name="Line 59422">
          <a:extLst>
            <a:ext uri="{FF2B5EF4-FFF2-40B4-BE49-F238E27FC236}">
              <a16:creationId xmlns="" xmlns:a16="http://schemas.microsoft.com/office/drawing/2014/main" id="{D26436D7-A7D9-489D-9ED8-2CB363D7EDA8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83" name="Line 59423">
          <a:extLst>
            <a:ext uri="{FF2B5EF4-FFF2-40B4-BE49-F238E27FC236}">
              <a16:creationId xmlns="" xmlns:a16="http://schemas.microsoft.com/office/drawing/2014/main" id="{E7CD4A39-79E9-4F40-9812-72331DEE54DA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84" name="Line 59442">
          <a:extLst>
            <a:ext uri="{FF2B5EF4-FFF2-40B4-BE49-F238E27FC236}">
              <a16:creationId xmlns="" xmlns:a16="http://schemas.microsoft.com/office/drawing/2014/main" id="{CB8F8331-0117-4827-A8F7-08999EDB6D7E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85" name="Line 59443">
          <a:extLst>
            <a:ext uri="{FF2B5EF4-FFF2-40B4-BE49-F238E27FC236}">
              <a16:creationId xmlns="" xmlns:a16="http://schemas.microsoft.com/office/drawing/2014/main" id="{F219B9BC-4277-4598-8F71-883418BFF54E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86" name="Line 59462">
          <a:extLst>
            <a:ext uri="{FF2B5EF4-FFF2-40B4-BE49-F238E27FC236}">
              <a16:creationId xmlns="" xmlns:a16="http://schemas.microsoft.com/office/drawing/2014/main" id="{5CF04E8B-5773-4FA0-8841-B5C991ECFF93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87" name="Line 59463">
          <a:extLst>
            <a:ext uri="{FF2B5EF4-FFF2-40B4-BE49-F238E27FC236}">
              <a16:creationId xmlns="" xmlns:a16="http://schemas.microsoft.com/office/drawing/2014/main" id="{855C3C07-9247-436C-B4E5-9E97A4E124EA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88" name="Line 59482">
          <a:extLst>
            <a:ext uri="{FF2B5EF4-FFF2-40B4-BE49-F238E27FC236}">
              <a16:creationId xmlns="" xmlns:a16="http://schemas.microsoft.com/office/drawing/2014/main" id="{9D6F588B-28BD-4E0E-B9D1-1073D67511DB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89" name="Line 59483">
          <a:extLst>
            <a:ext uri="{FF2B5EF4-FFF2-40B4-BE49-F238E27FC236}">
              <a16:creationId xmlns="" xmlns:a16="http://schemas.microsoft.com/office/drawing/2014/main" id="{A11F0808-59E7-45AE-A6A2-8C5FA1F05AF8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90" name="Line 59502">
          <a:extLst>
            <a:ext uri="{FF2B5EF4-FFF2-40B4-BE49-F238E27FC236}">
              <a16:creationId xmlns="" xmlns:a16="http://schemas.microsoft.com/office/drawing/2014/main" id="{77F1EEF0-117D-45AA-A8FA-764CC043020A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791" name="Line 59503">
          <a:extLst>
            <a:ext uri="{FF2B5EF4-FFF2-40B4-BE49-F238E27FC236}">
              <a16:creationId xmlns="" xmlns:a16="http://schemas.microsoft.com/office/drawing/2014/main" id="{21E005D7-D9C5-4631-A100-3D00798FD885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92" name="Line 59406">
          <a:extLst>
            <a:ext uri="{FF2B5EF4-FFF2-40B4-BE49-F238E27FC236}">
              <a16:creationId xmlns="" xmlns:a16="http://schemas.microsoft.com/office/drawing/2014/main" id="{E6061A87-281D-4E0B-95D1-A365962AB7A4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93" name="Line 59407">
          <a:extLst>
            <a:ext uri="{FF2B5EF4-FFF2-40B4-BE49-F238E27FC236}">
              <a16:creationId xmlns="" xmlns:a16="http://schemas.microsoft.com/office/drawing/2014/main" id="{D15A0511-01B1-46B9-A0F6-0FCDBB50288C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94" name="Line 59426">
          <a:extLst>
            <a:ext uri="{FF2B5EF4-FFF2-40B4-BE49-F238E27FC236}">
              <a16:creationId xmlns="" xmlns:a16="http://schemas.microsoft.com/office/drawing/2014/main" id="{AF2748C0-F82F-4025-8711-19AC91924C8F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95" name="Line 59427">
          <a:extLst>
            <a:ext uri="{FF2B5EF4-FFF2-40B4-BE49-F238E27FC236}">
              <a16:creationId xmlns="" xmlns:a16="http://schemas.microsoft.com/office/drawing/2014/main" id="{C97A55EB-3167-4609-863A-BB0BBACD9168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96" name="Line 59446">
          <a:extLst>
            <a:ext uri="{FF2B5EF4-FFF2-40B4-BE49-F238E27FC236}">
              <a16:creationId xmlns="" xmlns:a16="http://schemas.microsoft.com/office/drawing/2014/main" id="{EC29C232-753A-4254-8E25-243E3AF10937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97" name="Line 59447">
          <a:extLst>
            <a:ext uri="{FF2B5EF4-FFF2-40B4-BE49-F238E27FC236}">
              <a16:creationId xmlns="" xmlns:a16="http://schemas.microsoft.com/office/drawing/2014/main" id="{0BED511A-0F45-405D-9CD7-E3372735CBF9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798" name="Line 59466">
          <a:extLst>
            <a:ext uri="{FF2B5EF4-FFF2-40B4-BE49-F238E27FC236}">
              <a16:creationId xmlns="" xmlns:a16="http://schemas.microsoft.com/office/drawing/2014/main" id="{6F5E4388-28B7-4C18-8F5E-BF361267DB8D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799" name="Line 59467">
          <a:extLst>
            <a:ext uri="{FF2B5EF4-FFF2-40B4-BE49-F238E27FC236}">
              <a16:creationId xmlns="" xmlns:a16="http://schemas.microsoft.com/office/drawing/2014/main" id="{F8884A0B-507A-4270-BAD2-362A73B5911D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00" name="Line 59486">
          <a:extLst>
            <a:ext uri="{FF2B5EF4-FFF2-40B4-BE49-F238E27FC236}">
              <a16:creationId xmlns="" xmlns:a16="http://schemas.microsoft.com/office/drawing/2014/main" id="{8D200BE6-1B52-4998-8285-1B3C2CC329D7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01" name="Line 59487">
          <a:extLst>
            <a:ext uri="{FF2B5EF4-FFF2-40B4-BE49-F238E27FC236}">
              <a16:creationId xmlns="" xmlns:a16="http://schemas.microsoft.com/office/drawing/2014/main" id="{C1E0E4BC-5A8C-499B-BE07-5A5A72203AD3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02" name="Line 59508">
          <a:extLst>
            <a:ext uri="{FF2B5EF4-FFF2-40B4-BE49-F238E27FC236}">
              <a16:creationId xmlns="" xmlns:a16="http://schemas.microsoft.com/office/drawing/2014/main" id="{B479602C-6AF3-4413-A5FE-E2715A785D6D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03" name="Line 59509">
          <a:extLst>
            <a:ext uri="{FF2B5EF4-FFF2-40B4-BE49-F238E27FC236}">
              <a16:creationId xmlns="" xmlns:a16="http://schemas.microsoft.com/office/drawing/2014/main" id="{1EC62624-9D67-4663-AF9E-9AD6A6171756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04" name="Line 59510">
          <a:extLst>
            <a:ext uri="{FF2B5EF4-FFF2-40B4-BE49-F238E27FC236}">
              <a16:creationId xmlns="" xmlns:a16="http://schemas.microsoft.com/office/drawing/2014/main" id="{91CB4453-ACF7-469E-BF8E-432F015C3995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05" name="Line 59511">
          <a:extLst>
            <a:ext uri="{FF2B5EF4-FFF2-40B4-BE49-F238E27FC236}">
              <a16:creationId xmlns="" xmlns:a16="http://schemas.microsoft.com/office/drawing/2014/main" id="{B1B9241A-6CC3-4D0F-A62D-6396A93368D7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06" name="Line 59512">
          <a:extLst>
            <a:ext uri="{FF2B5EF4-FFF2-40B4-BE49-F238E27FC236}">
              <a16:creationId xmlns="" xmlns:a16="http://schemas.microsoft.com/office/drawing/2014/main" id="{F70B1AD0-1EA1-43EB-9A1A-32A1313A2B36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07" name="Line 59513">
          <a:extLst>
            <a:ext uri="{FF2B5EF4-FFF2-40B4-BE49-F238E27FC236}">
              <a16:creationId xmlns="" xmlns:a16="http://schemas.microsoft.com/office/drawing/2014/main" id="{4D992776-B5AC-479A-9D43-803A126DF7FF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08" name="Line 59402">
          <a:extLst>
            <a:ext uri="{FF2B5EF4-FFF2-40B4-BE49-F238E27FC236}">
              <a16:creationId xmlns="" xmlns:a16="http://schemas.microsoft.com/office/drawing/2014/main" id="{79B94D61-B4D9-44B4-80BE-5B3550C81FF0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809" name="Line 59403">
          <a:extLst>
            <a:ext uri="{FF2B5EF4-FFF2-40B4-BE49-F238E27FC236}">
              <a16:creationId xmlns="" xmlns:a16="http://schemas.microsoft.com/office/drawing/2014/main" id="{7E4A9B60-8C5D-49C9-9A2A-A7B539E3ED9C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10" name="Line 59422">
          <a:extLst>
            <a:ext uri="{FF2B5EF4-FFF2-40B4-BE49-F238E27FC236}">
              <a16:creationId xmlns="" xmlns:a16="http://schemas.microsoft.com/office/drawing/2014/main" id="{158CBEB9-AAEC-4D8B-B1AC-3C9C26F4D205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811" name="Line 59423">
          <a:extLst>
            <a:ext uri="{FF2B5EF4-FFF2-40B4-BE49-F238E27FC236}">
              <a16:creationId xmlns="" xmlns:a16="http://schemas.microsoft.com/office/drawing/2014/main" id="{7F98E57C-FEC4-48F4-A8F1-CA8B14F2C03A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12" name="Line 59442">
          <a:extLst>
            <a:ext uri="{FF2B5EF4-FFF2-40B4-BE49-F238E27FC236}">
              <a16:creationId xmlns="" xmlns:a16="http://schemas.microsoft.com/office/drawing/2014/main" id="{BD76A492-DA6D-4F05-AADB-0438FF352A07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813" name="Line 59443">
          <a:extLst>
            <a:ext uri="{FF2B5EF4-FFF2-40B4-BE49-F238E27FC236}">
              <a16:creationId xmlns="" xmlns:a16="http://schemas.microsoft.com/office/drawing/2014/main" id="{5D8CA1E7-6F23-46AA-9F42-ED94FBD0914C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14" name="Line 59462">
          <a:extLst>
            <a:ext uri="{FF2B5EF4-FFF2-40B4-BE49-F238E27FC236}">
              <a16:creationId xmlns="" xmlns:a16="http://schemas.microsoft.com/office/drawing/2014/main" id="{0C55CBCC-014E-48E9-84F4-5106898968DC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815" name="Line 59463">
          <a:extLst>
            <a:ext uri="{FF2B5EF4-FFF2-40B4-BE49-F238E27FC236}">
              <a16:creationId xmlns="" xmlns:a16="http://schemas.microsoft.com/office/drawing/2014/main" id="{6B140795-8292-4DF6-BCB5-57C3B4315BEF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16" name="Line 59482">
          <a:extLst>
            <a:ext uri="{FF2B5EF4-FFF2-40B4-BE49-F238E27FC236}">
              <a16:creationId xmlns="" xmlns:a16="http://schemas.microsoft.com/office/drawing/2014/main" id="{5E4713AE-C2D2-4156-A451-CF75C9B3AAB8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817" name="Line 59483">
          <a:extLst>
            <a:ext uri="{FF2B5EF4-FFF2-40B4-BE49-F238E27FC236}">
              <a16:creationId xmlns="" xmlns:a16="http://schemas.microsoft.com/office/drawing/2014/main" id="{E56BCFFE-396E-4628-BD9C-A63CBF092744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19050</xdr:rowOff>
    </xdr:from>
    <xdr:to>
      <xdr:col>5</xdr:col>
      <xdr:colOff>0</xdr:colOff>
      <xdr:row>82</xdr:row>
      <xdr:rowOff>266700</xdr:rowOff>
    </xdr:to>
    <xdr:sp macro="" textlink="">
      <xdr:nvSpPr>
        <xdr:cNvPr id="125818" name="Line 59503">
          <a:extLst>
            <a:ext uri="{FF2B5EF4-FFF2-40B4-BE49-F238E27FC236}">
              <a16:creationId xmlns="" xmlns:a16="http://schemas.microsoft.com/office/drawing/2014/main" id="{1341B9DA-4084-43EF-82FB-B46526ACC649}"/>
            </a:ext>
          </a:extLst>
        </xdr:cNvPr>
        <xdr:cNvSpPr>
          <a:spLocks noChangeShapeType="1"/>
        </xdr:cNvSpPr>
      </xdr:nvSpPr>
      <xdr:spPr bwMode="auto">
        <a:xfrm>
          <a:off x="912813" y="254825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19" name="Line 59406">
          <a:extLst>
            <a:ext uri="{FF2B5EF4-FFF2-40B4-BE49-F238E27FC236}">
              <a16:creationId xmlns="" xmlns:a16="http://schemas.microsoft.com/office/drawing/2014/main" id="{BA76A17B-008F-445E-830D-41706A0509D0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20" name="Line 59407">
          <a:extLst>
            <a:ext uri="{FF2B5EF4-FFF2-40B4-BE49-F238E27FC236}">
              <a16:creationId xmlns="" xmlns:a16="http://schemas.microsoft.com/office/drawing/2014/main" id="{4AC72508-F85F-490A-81FA-E9EF5C107513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21" name="Line 59426">
          <a:extLst>
            <a:ext uri="{FF2B5EF4-FFF2-40B4-BE49-F238E27FC236}">
              <a16:creationId xmlns="" xmlns:a16="http://schemas.microsoft.com/office/drawing/2014/main" id="{58840A39-6F7B-4D70-875B-833B37EA3D7D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22" name="Line 59427">
          <a:extLst>
            <a:ext uri="{FF2B5EF4-FFF2-40B4-BE49-F238E27FC236}">
              <a16:creationId xmlns="" xmlns:a16="http://schemas.microsoft.com/office/drawing/2014/main" id="{0AC90D45-44D3-496C-9F86-B3AC8C5899DF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23" name="Line 59446">
          <a:extLst>
            <a:ext uri="{FF2B5EF4-FFF2-40B4-BE49-F238E27FC236}">
              <a16:creationId xmlns="" xmlns:a16="http://schemas.microsoft.com/office/drawing/2014/main" id="{365B2C93-3772-4260-A21E-A0E88DB29A43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24" name="Line 59447">
          <a:extLst>
            <a:ext uri="{FF2B5EF4-FFF2-40B4-BE49-F238E27FC236}">
              <a16:creationId xmlns="" xmlns:a16="http://schemas.microsoft.com/office/drawing/2014/main" id="{F9FA0374-32A1-4247-85E5-8BC714B746B3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25" name="Line 59466">
          <a:extLst>
            <a:ext uri="{FF2B5EF4-FFF2-40B4-BE49-F238E27FC236}">
              <a16:creationId xmlns="" xmlns:a16="http://schemas.microsoft.com/office/drawing/2014/main" id="{5B43D2F7-094C-40F1-993E-65037F59CBE3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26" name="Line 59467">
          <a:extLst>
            <a:ext uri="{FF2B5EF4-FFF2-40B4-BE49-F238E27FC236}">
              <a16:creationId xmlns="" xmlns:a16="http://schemas.microsoft.com/office/drawing/2014/main" id="{6572F3B5-2980-4E85-85CF-4E6324CA852A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27" name="Line 59486">
          <a:extLst>
            <a:ext uri="{FF2B5EF4-FFF2-40B4-BE49-F238E27FC236}">
              <a16:creationId xmlns="" xmlns:a16="http://schemas.microsoft.com/office/drawing/2014/main" id="{AA274E8A-86C7-40F4-B8FA-5967D79861B8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28" name="Line 59487">
          <a:extLst>
            <a:ext uri="{FF2B5EF4-FFF2-40B4-BE49-F238E27FC236}">
              <a16:creationId xmlns="" xmlns:a16="http://schemas.microsoft.com/office/drawing/2014/main" id="{A92BD6B6-4728-4C29-82F6-81D3395A5558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29" name="Line 59508">
          <a:extLst>
            <a:ext uri="{FF2B5EF4-FFF2-40B4-BE49-F238E27FC236}">
              <a16:creationId xmlns="" xmlns:a16="http://schemas.microsoft.com/office/drawing/2014/main" id="{C24BBE14-87A4-476D-8D13-D776063FEC1D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30" name="Line 59509">
          <a:extLst>
            <a:ext uri="{FF2B5EF4-FFF2-40B4-BE49-F238E27FC236}">
              <a16:creationId xmlns="" xmlns:a16="http://schemas.microsoft.com/office/drawing/2014/main" id="{C4691D65-B1A5-460E-89B8-6F6C68928D55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31" name="Line 59510">
          <a:extLst>
            <a:ext uri="{FF2B5EF4-FFF2-40B4-BE49-F238E27FC236}">
              <a16:creationId xmlns="" xmlns:a16="http://schemas.microsoft.com/office/drawing/2014/main" id="{2B3352AB-EAEF-41D3-AC9A-CC3D1685F039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32" name="Line 59511">
          <a:extLst>
            <a:ext uri="{FF2B5EF4-FFF2-40B4-BE49-F238E27FC236}">
              <a16:creationId xmlns="" xmlns:a16="http://schemas.microsoft.com/office/drawing/2014/main" id="{EBFE6543-2118-4B35-A51D-545B8D265CEC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82</xdr:row>
      <xdr:rowOff>0</xdr:rowOff>
    </xdr:from>
    <xdr:to>
      <xdr:col>11</xdr:col>
      <xdr:colOff>25400</xdr:colOff>
      <xdr:row>82</xdr:row>
      <xdr:rowOff>0</xdr:rowOff>
    </xdr:to>
    <xdr:sp macro="" textlink="">
      <xdr:nvSpPr>
        <xdr:cNvPr id="125833" name="Line 59512">
          <a:extLst>
            <a:ext uri="{FF2B5EF4-FFF2-40B4-BE49-F238E27FC236}">
              <a16:creationId xmlns="" xmlns:a16="http://schemas.microsoft.com/office/drawing/2014/main" id="{03080353-6616-4108-9892-821EDFD26619}"/>
            </a:ext>
          </a:extLst>
        </xdr:cNvPr>
        <xdr:cNvSpPr>
          <a:spLocks noChangeShapeType="1"/>
        </xdr:cNvSpPr>
      </xdr:nvSpPr>
      <xdr:spPr bwMode="auto">
        <a:xfrm>
          <a:off x="315913" y="25463500"/>
          <a:ext cx="17176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38100</xdr:rowOff>
    </xdr:from>
    <xdr:to>
      <xdr:col>5</xdr:col>
      <xdr:colOff>0</xdr:colOff>
      <xdr:row>82</xdr:row>
      <xdr:rowOff>393700</xdr:rowOff>
    </xdr:to>
    <xdr:sp macro="" textlink="">
      <xdr:nvSpPr>
        <xdr:cNvPr id="125834" name="Line 59513">
          <a:extLst>
            <a:ext uri="{FF2B5EF4-FFF2-40B4-BE49-F238E27FC236}">
              <a16:creationId xmlns="" xmlns:a16="http://schemas.microsoft.com/office/drawing/2014/main" id="{9A2B7529-2925-462F-A439-E90F723ACDF2}"/>
            </a:ext>
          </a:extLst>
        </xdr:cNvPr>
        <xdr:cNvSpPr>
          <a:spLocks noChangeShapeType="1"/>
        </xdr:cNvSpPr>
      </xdr:nvSpPr>
      <xdr:spPr bwMode="auto">
        <a:xfrm>
          <a:off x="912813" y="25501600"/>
          <a:ext cx="0" cy="2667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835" name="Line 59407">
          <a:extLst>
            <a:ext uri="{FF2B5EF4-FFF2-40B4-BE49-F238E27FC236}">
              <a16:creationId xmlns="" xmlns:a16="http://schemas.microsoft.com/office/drawing/2014/main" id="{8EB19999-1025-48D1-8E8C-D97B4D114CF2}"/>
            </a:ext>
          </a:extLst>
        </xdr:cNvPr>
        <xdr:cNvSpPr>
          <a:spLocks noChangeShapeType="1"/>
        </xdr:cNvSpPr>
      </xdr:nvSpPr>
      <xdr:spPr bwMode="auto">
        <a:xfrm>
          <a:off x="912813" y="24231600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836" name="Line 59427">
          <a:extLst>
            <a:ext uri="{FF2B5EF4-FFF2-40B4-BE49-F238E27FC236}">
              <a16:creationId xmlns="" xmlns:a16="http://schemas.microsoft.com/office/drawing/2014/main" id="{17FF6138-DF57-4E7A-BF0D-0619010B11CD}"/>
            </a:ext>
          </a:extLst>
        </xdr:cNvPr>
        <xdr:cNvSpPr>
          <a:spLocks noChangeShapeType="1"/>
        </xdr:cNvSpPr>
      </xdr:nvSpPr>
      <xdr:spPr bwMode="auto">
        <a:xfrm>
          <a:off x="912813" y="24231600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837" name="Line 59447">
          <a:extLst>
            <a:ext uri="{FF2B5EF4-FFF2-40B4-BE49-F238E27FC236}">
              <a16:creationId xmlns="" xmlns:a16="http://schemas.microsoft.com/office/drawing/2014/main" id="{B1239EE2-4919-4077-9C2A-A4A28E02B1EB}"/>
            </a:ext>
          </a:extLst>
        </xdr:cNvPr>
        <xdr:cNvSpPr>
          <a:spLocks noChangeShapeType="1"/>
        </xdr:cNvSpPr>
      </xdr:nvSpPr>
      <xdr:spPr bwMode="auto">
        <a:xfrm>
          <a:off x="912813" y="24231600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838" name="Line 59467">
          <a:extLst>
            <a:ext uri="{FF2B5EF4-FFF2-40B4-BE49-F238E27FC236}">
              <a16:creationId xmlns="" xmlns:a16="http://schemas.microsoft.com/office/drawing/2014/main" id="{38ED9297-DDF9-49C0-8EC9-7719DE57497A}"/>
            </a:ext>
          </a:extLst>
        </xdr:cNvPr>
        <xdr:cNvSpPr>
          <a:spLocks noChangeShapeType="1"/>
        </xdr:cNvSpPr>
      </xdr:nvSpPr>
      <xdr:spPr bwMode="auto">
        <a:xfrm>
          <a:off x="912813" y="24231600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839" name="Line 59487">
          <a:extLst>
            <a:ext uri="{FF2B5EF4-FFF2-40B4-BE49-F238E27FC236}">
              <a16:creationId xmlns="" xmlns:a16="http://schemas.microsoft.com/office/drawing/2014/main" id="{9C05E41D-00C3-4D64-9D49-8E3618ACF443}"/>
            </a:ext>
          </a:extLst>
        </xdr:cNvPr>
        <xdr:cNvSpPr>
          <a:spLocks noChangeShapeType="1"/>
        </xdr:cNvSpPr>
      </xdr:nvSpPr>
      <xdr:spPr bwMode="auto">
        <a:xfrm>
          <a:off x="912813" y="24231600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840" name="Line 59509">
          <a:extLst>
            <a:ext uri="{FF2B5EF4-FFF2-40B4-BE49-F238E27FC236}">
              <a16:creationId xmlns="" xmlns:a16="http://schemas.microsoft.com/office/drawing/2014/main" id="{03E4474F-BAF7-4050-B79D-0B544DC39352}"/>
            </a:ext>
          </a:extLst>
        </xdr:cNvPr>
        <xdr:cNvSpPr>
          <a:spLocks noChangeShapeType="1"/>
        </xdr:cNvSpPr>
      </xdr:nvSpPr>
      <xdr:spPr bwMode="auto">
        <a:xfrm>
          <a:off x="912813" y="24231600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841" name="Line 59511">
          <a:extLst>
            <a:ext uri="{FF2B5EF4-FFF2-40B4-BE49-F238E27FC236}">
              <a16:creationId xmlns="" xmlns:a16="http://schemas.microsoft.com/office/drawing/2014/main" id="{2ED8E63F-55E9-4F70-99CD-ECC1C3AFAC5B}"/>
            </a:ext>
          </a:extLst>
        </xdr:cNvPr>
        <xdr:cNvSpPr>
          <a:spLocks noChangeShapeType="1"/>
        </xdr:cNvSpPr>
      </xdr:nvSpPr>
      <xdr:spPr bwMode="auto">
        <a:xfrm>
          <a:off x="912813" y="24231600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78</xdr:row>
      <xdr:rowOff>38100</xdr:rowOff>
    </xdr:from>
    <xdr:to>
      <xdr:col>5</xdr:col>
      <xdr:colOff>0</xdr:colOff>
      <xdr:row>78</xdr:row>
      <xdr:rowOff>393700</xdr:rowOff>
    </xdr:to>
    <xdr:sp macro="" textlink="">
      <xdr:nvSpPr>
        <xdr:cNvPr id="125842" name="Line 59513">
          <a:extLst>
            <a:ext uri="{FF2B5EF4-FFF2-40B4-BE49-F238E27FC236}">
              <a16:creationId xmlns="" xmlns:a16="http://schemas.microsoft.com/office/drawing/2014/main" id="{CCBF30A5-EF21-44F6-9FB3-F8C36E402755}"/>
            </a:ext>
          </a:extLst>
        </xdr:cNvPr>
        <xdr:cNvSpPr>
          <a:spLocks noChangeShapeType="1"/>
        </xdr:cNvSpPr>
      </xdr:nvSpPr>
      <xdr:spPr bwMode="auto">
        <a:xfrm>
          <a:off x="912813" y="24231600"/>
          <a:ext cx="0" cy="3302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88655</xdr:colOff>
      <xdr:row>47</xdr:row>
      <xdr:rowOff>7938</xdr:rowOff>
    </xdr:from>
    <xdr:to>
      <xdr:col>11</xdr:col>
      <xdr:colOff>154218</xdr:colOff>
      <xdr:row>47</xdr:row>
      <xdr:rowOff>7938</xdr:rowOff>
    </xdr:to>
    <xdr:sp macro="" textlink="">
      <xdr:nvSpPr>
        <xdr:cNvPr id="125844" name="Line 60115">
          <a:extLst>
            <a:ext uri="{FF2B5EF4-FFF2-40B4-BE49-F238E27FC236}">
              <a16:creationId xmlns="" xmlns:a16="http://schemas.microsoft.com/office/drawing/2014/main" id="{C28063C2-AA08-48A9-AB4D-189011668975}"/>
            </a:ext>
          </a:extLst>
        </xdr:cNvPr>
        <xdr:cNvSpPr>
          <a:spLocks noChangeShapeType="1"/>
        </xdr:cNvSpPr>
      </xdr:nvSpPr>
      <xdr:spPr bwMode="auto">
        <a:xfrm>
          <a:off x="271218" y="11795126"/>
          <a:ext cx="1891188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2" name="Line 59406">
          <a:extLst>
            <a:ext uri="{FF2B5EF4-FFF2-40B4-BE49-F238E27FC236}">
              <a16:creationId xmlns="" xmlns:a16="http://schemas.microsoft.com/office/drawing/2014/main" id="{A9888E58-8ACC-4A96-B598-10711876981B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3" name="Line 59407">
          <a:extLst>
            <a:ext uri="{FF2B5EF4-FFF2-40B4-BE49-F238E27FC236}">
              <a16:creationId xmlns="" xmlns:a16="http://schemas.microsoft.com/office/drawing/2014/main" id="{84043F97-D1A7-4746-A197-BD79C0DB5030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4" name="Line 59426">
          <a:extLst>
            <a:ext uri="{FF2B5EF4-FFF2-40B4-BE49-F238E27FC236}">
              <a16:creationId xmlns="" xmlns:a16="http://schemas.microsoft.com/office/drawing/2014/main" id="{2C2A73E6-CA53-46DA-A102-3B7EA6667598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6" name="Line 59427">
          <a:extLst>
            <a:ext uri="{FF2B5EF4-FFF2-40B4-BE49-F238E27FC236}">
              <a16:creationId xmlns="" xmlns:a16="http://schemas.microsoft.com/office/drawing/2014/main" id="{CBE9C0C7-4000-4521-9D8F-9C945E572C1B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8" name="Line 59446">
          <a:extLst>
            <a:ext uri="{FF2B5EF4-FFF2-40B4-BE49-F238E27FC236}">
              <a16:creationId xmlns="" xmlns:a16="http://schemas.microsoft.com/office/drawing/2014/main" id="{97F9BA02-7F27-4A1F-B732-3B339FD2DE53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0" name="Line 59447">
          <a:extLst>
            <a:ext uri="{FF2B5EF4-FFF2-40B4-BE49-F238E27FC236}">
              <a16:creationId xmlns="" xmlns:a16="http://schemas.microsoft.com/office/drawing/2014/main" id="{94B9CF80-64C6-4B2C-B3DA-DA37EEC597AA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" name="Line 59466">
          <a:extLst>
            <a:ext uri="{FF2B5EF4-FFF2-40B4-BE49-F238E27FC236}">
              <a16:creationId xmlns="" xmlns:a16="http://schemas.microsoft.com/office/drawing/2014/main" id="{4ECB380A-20CE-4E1B-AA71-BE89ED64C919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4" name="Line 59467">
          <a:extLst>
            <a:ext uri="{FF2B5EF4-FFF2-40B4-BE49-F238E27FC236}">
              <a16:creationId xmlns="" xmlns:a16="http://schemas.microsoft.com/office/drawing/2014/main" id="{B1002243-6F92-444C-ADD8-E5FDB2A5CEEE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6" name="Line 59486">
          <a:extLst>
            <a:ext uri="{FF2B5EF4-FFF2-40B4-BE49-F238E27FC236}">
              <a16:creationId xmlns="" xmlns:a16="http://schemas.microsoft.com/office/drawing/2014/main" id="{BA2DF227-D3B2-4044-9812-F3C6D7D4791A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8" name="Line 59487">
          <a:extLst>
            <a:ext uri="{FF2B5EF4-FFF2-40B4-BE49-F238E27FC236}">
              <a16:creationId xmlns="" xmlns:a16="http://schemas.microsoft.com/office/drawing/2014/main" id="{FCE61241-1D5C-417C-B225-570DFE054A8F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20" name="Line 59508">
          <a:extLst>
            <a:ext uri="{FF2B5EF4-FFF2-40B4-BE49-F238E27FC236}">
              <a16:creationId xmlns="" xmlns:a16="http://schemas.microsoft.com/office/drawing/2014/main" id="{DD52EB92-FDB0-4968-8C7C-A9EBEE743A09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22" name="Line 59509">
          <a:extLst>
            <a:ext uri="{FF2B5EF4-FFF2-40B4-BE49-F238E27FC236}">
              <a16:creationId xmlns="" xmlns:a16="http://schemas.microsoft.com/office/drawing/2014/main" id="{617D5625-B01F-4A93-818B-7DA7BCD981EF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24" name="Line 59510">
          <a:extLst>
            <a:ext uri="{FF2B5EF4-FFF2-40B4-BE49-F238E27FC236}">
              <a16:creationId xmlns="" xmlns:a16="http://schemas.microsoft.com/office/drawing/2014/main" id="{308D3594-70A7-465E-B3BA-F73A308CD6A5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26" name="Line 59511">
          <a:extLst>
            <a:ext uri="{FF2B5EF4-FFF2-40B4-BE49-F238E27FC236}">
              <a16:creationId xmlns="" xmlns:a16="http://schemas.microsoft.com/office/drawing/2014/main" id="{714085F5-A1B5-4F34-BFB4-37B32A28694E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28" name="Line 59512">
          <a:extLst>
            <a:ext uri="{FF2B5EF4-FFF2-40B4-BE49-F238E27FC236}">
              <a16:creationId xmlns="" xmlns:a16="http://schemas.microsoft.com/office/drawing/2014/main" id="{0909EC07-445C-4FC0-B118-5171D38818ED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30" name="Line 59513">
          <a:extLst>
            <a:ext uri="{FF2B5EF4-FFF2-40B4-BE49-F238E27FC236}">
              <a16:creationId xmlns="" xmlns:a16="http://schemas.microsoft.com/office/drawing/2014/main" id="{CEC1FD6A-574A-4FF7-9F55-D25AF63CDFBD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32" name="Line 59402">
          <a:extLst>
            <a:ext uri="{FF2B5EF4-FFF2-40B4-BE49-F238E27FC236}">
              <a16:creationId xmlns="" xmlns:a16="http://schemas.microsoft.com/office/drawing/2014/main" id="{A0FB3769-0FF8-4C3A-9472-5812FB681478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34" name="Line 59403">
          <a:extLst>
            <a:ext uri="{FF2B5EF4-FFF2-40B4-BE49-F238E27FC236}">
              <a16:creationId xmlns="" xmlns:a16="http://schemas.microsoft.com/office/drawing/2014/main" id="{23E4B2D3-719B-4EFA-B1C2-765D6CEFE2F9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36" name="Line 59422">
          <a:extLst>
            <a:ext uri="{FF2B5EF4-FFF2-40B4-BE49-F238E27FC236}">
              <a16:creationId xmlns="" xmlns:a16="http://schemas.microsoft.com/office/drawing/2014/main" id="{61B184A9-A83E-48C7-9792-2E963232B122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38" name="Line 59423">
          <a:extLst>
            <a:ext uri="{FF2B5EF4-FFF2-40B4-BE49-F238E27FC236}">
              <a16:creationId xmlns="" xmlns:a16="http://schemas.microsoft.com/office/drawing/2014/main" id="{8F43DC78-77B5-4157-81AD-FAEAD1D3059F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40" name="Line 59442">
          <a:extLst>
            <a:ext uri="{FF2B5EF4-FFF2-40B4-BE49-F238E27FC236}">
              <a16:creationId xmlns="" xmlns:a16="http://schemas.microsoft.com/office/drawing/2014/main" id="{59C635F4-0BD7-475F-83AC-F465FBE90006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42" name="Line 59443">
          <a:extLst>
            <a:ext uri="{FF2B5EF4-FFF2-40B4-BE49-F238E27FC236}">
              <a16:creationId xmlns="" xmlns:a16="http://schemas.microsoft.com/office/drawing/2014/main" id="{304A4402-9E4F-4B9D-9845-1AF119246D39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44" name="Line 59462">
          <a:extLst>
            <a:ext uri="{FF2B5EF4-FFF2-40B4-BE49-F238E27FC236}">
              <a16:creationId xmlns="" xmlns:a16="http://schemas.microsoft.com/office/drawing/2014/main" id="{2A086A9A-C919-40FE-AEFC-1A80F894A8AF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46" name="Line 59463">
          <a:extLst>
            <a:ext uri="{FF2B5EF4-FFF2-40B4-BE49-F238E27FC236}">
              <a16:creationId xmlns="" xmlns:a16="http://schemas.microsoft.com/office/drawing/2014/main" id="{743F7BB6-A5C5-4608-819F-B3764E4CEE4C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48" name="Line 59482">
          <a:extLst>
            <a:ext uri="{FF2B5EF4-FFF2-40B4-BE49-F238E27FC236}">
              <a16:creationId xmlns="" xmlns:a16="http://schemas.microsoft.com/office/drawing/2014/main" id="{3485014A-45AD-4F3D-86A9-4B04F6C988F1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50" name="Line 59483">
          <a:extLst>
            <a:ext uri="{FF2B5EF4-FFF2-40B4-BE49-F238E27FC236}">
              <a16:creationId xmlns="" xmlns:a16="http://schemas.microsoft.com/office/drawing/2014/main" id="{90BA4CB7-2D19-41CF-8514-AC0D0ACC1C26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52" name="Line 59502">
          <a:extLst>
            <a:ext uri="{FF2B5EF4-FFF2-40B4-BE49-F238E27FC236}">
              <a16:creationId xmlns="" xmlns:a16="http://schemas.microsoft.com/office/drawing/2014/main" id="{BCD8C8B8-0F43-4A39-9B78-0C573CF4AE95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54" name="Line 59503">
          <a:extLst>
            <a:ext uri="{FF2B5EF4-FFF2-40B4-BE49-F238E27FC236}">
              <a16:creationId xmlns="" xmlns:a16="http://schemas.microsoft.com/office/drawing/2014/main" id="{6C904A18-41DC-4C0A-9C2C-B9F21EC0E7F7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56" name="Line 59406">
          <a:extLst>
            <a:ext uri="{FF2B5EF4-FFF2-40B4-BE49-F238E27FC236}">
              <a16:creationId xmlns="" xmlns:a16="http://schemas.microsoft.com/office/drawing/2014/main" id="{F3C7AAD0-844D-47ED-BCC7-0D28D658F458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58" name="Line 59407">
          <a:extLst>
            <a:ext uri="{FF2B5EF4-FFF2-40B4-BE49-F238E27FC236}">
              <a16:creationId xmlns="" xmlns:a16="http://schemas.microsoft.com/office/drawing/2014/main" id="{C5F850FF-39EA-4ABF-9813-C779C3263708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75" name="Line 59426">
          <a:extLst>
            <a:ext uri="{FF2B5EF4-FFF2-40B4-BE49-F238E27FC236}">
              <a16:creationId xmlns="" xmlns:a16="http://schemas.microsoft.com/office/drawing/2014/main" id="{1A127725-8E6A-44F6-B165-AC0D396F79DB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376" name="Line 59427">
          <a:extLst>
            <a:ext uri="{FF2B5EF4-FFF2-40B4-BE49-F238E27FC236}">
              <a16:creationId xmlns="" xmlns:a16="http://schemas.microsoft.com/office/drawing/2014/main" id="{4E0403A6-EA24-4FAA-957D-84329C9959F2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77" name="Line 59446">
          <a:extLst>
            <a:ext uri="{FF2B5EF4-FFF2-40B4-BE49-F238E27FC236}">
              <a16:creationId xmlns="" xmlns:a16="http://schemas.microsoft.com/office/drawing/2014/main" id="{8187A60E-FD24-408A-BD71-164CCBE9AFA1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378" name="Line 59447">
          <a:extLst>
            <a:ext uri="{FF2B5EF4-FFF2-40B4-BE49-F238E27FC236}">
              <a16:creationId xmlns="" xmlns:a16="http://schemas.microsoft.com/office/drawing/2014/main" id="{F21FF76C-4C48-4E76-8693-B2EAF69F6BB6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79" name="Line 59466">
          <a:extLst>
            <a:ext uri="{FF2B5EF4-FFF2-40B4-BE49-F238E27FC236}">
              <a16:creationId xmlns="" xmlns:a16="http://schemas.microsoft.com/office/drawing/2014/main" id="{B6390E80-1FB8-4588-A544-3E0A179CA121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380" name="Line 59467">
          <a:extLst>
            <a:ext uri="{FF2B5EF4-FFF2-40B4-BE49-F238E27FC236}">
              <a16:creationId xmlns="" xmlns:a16="http://schemas.microsoft.com/office/drawing/2014/main" id="{9AE20909-2B27-4E1B-A45B-EDF176C7E5AB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81" name="Line 59486">
          <a:extLst>
            <a:ext uri="{FF2B5EF4-FFF2-40B4-BE49-F238E27FC236}">
              <a16:creationId xmlns="" xmlns:a16="http://schemas.microsoft.com/office/drawing/2014/main" id="{2B1B48E5-2C0F-40DD-B039-8CCA7C27AC26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382" name="Line 59487">
          <a:extLst>
            <a:ext uri="{FF2B5EF4-FFF2-40B4-BE49-F238E27FC236}">
              <a16:creationId xmlns="" xmlns:a16="http://schemas.microsoft.com/office/drawing/2014/main" id="{2DEFB8C3-1219-4415-BC86-2AC5E9F4A5DB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83" name="Line 59508">
          <a:extLst>
            <a:ext uri="{FF2B5EF4-FFF2-40B4-BE49-F238E27FC236}">
              <a16:creationId xmlns="" xmlns:a16="http://schemas.microsoft.com/office/drawing/2014/main" id="{22A51014-541C-4395-99B5-B5937C0F95D8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384" name="Line 59509">
          <a:extLst>
            <a:ext uri="{FF2B5EF4-FFF2-40B4-BE49-F238E27FC236}">
              <a16:creationId xmlns="" xmlns:a16="http://schemas.microsoft.com/office/drawing/2014/main" id="{7850E29F-D287-4195-812F-A61CEB40F7FD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85" name="Line 59510">
          <a:extLst>
            <a:ext uri="{FF2B5EF4-FFF2-40B4-BE49-F238E27FC236}">
              <a16:creationId xmlns="" xmlns:a16="http://schemas.microsoft.com/office/drawing/2014/main" id="{A2D9E1A4-26AC-4262-BF09-3A2DEF2AA79E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386" name="Line 59511">
          <a:extLst>
            <a:ext uri="{FF2B5EF4-FFF2-40B4-BE49-F238E27FC236}">
              <a16:creationId xmlns="" xmlns:a16="http://schemas.microsoft.com/office/drawing/2014/main" id="{CB218B43-97C5-4A87-A080-A831B1CB341C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87" name="Line 59512">
          <a:extLst>
            <a:ext uri="{FF2B5EF4-FFF2-40B4-BE49-F238E27FC236}">
              <a16:creationId xmlns="" xmlns:a16="http://schemas.microsoft.com/office/drawing/2014/main" id="{8D925888-5445-48F2-B79C-161EED5DD8A8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388" name="Line 59513">
          <a:extLst>
            <a:ext uri="{FF2B5EF4-FFF2-40B4-BE49-F238E27FC236}">
              <a16:creationId xmlns="" xmlns:a16="http://schemas.microsoft.com/office/drawing/2014/main" id="{D3B021CB-E867-44DA-B63A-013BABD0B10D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89" name="Line 59402">
          <a:extLst>
            <a:ext uri="{FF2B5EF4-FFF2-40B4-BE49-F238E27FC236}">
              <a16:creationId xmlns="" xmlns:a16="http://schemas.microsoft.com/office/drawing/2014/main" id="{4DFDFF24-7D59-4B73-B687-278994C5C61A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390" name="Line 59403">
          <a:extLst>
            <a:ext uri="{FF2B5EF4-FFF2-40B4-BE49-F238E27FC236}">
              <a16:creationId xmlns="" xmlns:a16="http://schemas.microsoft.com/office/drawing/2014/main" id="{3C9ACEAF-CDEB-4BA7-A33B-8DD3C7B0A924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91" name="Line 59422">
          <a:extLst>
            <a:ext uri="{FF2B5EF4-FFF2-40B4-BE49-F238E27FC236}">
              <a16:creationId xmlns="" xmlns:a16="http://schemas.microsoft.com/office/drawing/2014/main" id="{4E26F191-1B7A-45B5-A45F-DCEA58FDE6C1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392" name="Line 59423">
          <a:extLst>
            <a:ext uri="{FF2B5EF4-FFF2-40B4-BE49-F238E27FC236}">
              <a16:creationId xmlns="" xmlns:a16="http://schemas.microsoft.com/office/drawing/2014/main" id="{EE25F4C9-A248-45C7-8252-FF956C224440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93" name="Line 59442">
          <a:extLst>
            <a:ext uri="{FF2B5EF4-FFF2-40B4-BE49-F238E27FC236}">
              <a16:creationId xmlns="" xmlns:a16="http://schemas.microsoft.com/office/drawing/2014/main" id="{ECC3F80C-6F9A-4C5B-9377-00FD5D1478A6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394" name="Line 59443">
          <a:extLst>
            <a:ext uri="{FF2B5EF4-FFF2-40B4-BE49-F238E27FC236}">
              <a16:creationId xmlns="" xmlns:a16="http://schemas.microsoft.com/office/drawing/2014/main" id="{D25D29D4-F468-4481-A990-00EBB98DAB2C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95" name="Line 59462">
          <a:extLst>
            <a:ext uri="{FF2B5EF4-FFF2-40B4-BE49-F238E27FC236}">
              <a16:creationId xmlns="" xmlns:a16="http://schemas.microsoft.com/office/drawing/2014/main" id="{B3074A95-EDFC-4FF3-9C5F-0AEE277921BA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396" name="Line 59463">
          <a:extLst>
            <a:ext uri="{FF2B5EF4-FFF2-40B4-BE49-F238E27FC236}">
              <a16:creationId xmlns="" xmlns:a16="http://schemas.microsoft.com/office/drawing/2014/main" id="{14C8F7D4-4E7A-4F78-9CBC-2EFB0FA8B5E5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97" name="Line 59482">
          <a:extLst>
            <a:ext uri="{FF2B5EF4-FFF2-40B4-BE49-F238E27FC236}">
              <a16:creationId xmlns="" xmlns:a16="http://schemas.microsoft.com/office/drawing/2014/main" id="{3AA6D361-87E0-48F5-B7DA-4E9732A32B84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398" name="Line 59483">
          <a:extLst>
            <a:ext uri="{FF2B5EF4-FFF2-40B4-BE49-F238E27FC236}">
              <a16:creationId xmlns="" xmlns:a16="http://schemas.microsoft.com/office/drawing/2014/main" id="{8AA54409-2584-4174-A273-6220AFEA8CF2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399" name="Line 59502">
          <a:extLst>
            <a:ext uri="{FF2B5EF4-FFF2-40B4-BE49-F238E27FC236}">
              <a16:creationId xmlns="" xmlns:a16="http://schemas.microsoft.com/office/drawing/2014/main" id="{7AB63371-40B2-42D0-B08B-889B3663D1CA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400" name="Line 59503">
          <a:extLst>
            <a:ext uri="{FF2B5EF4-FFF2-40B4-BE49-F238E27FC236}">
              <a16:creationId xmlns="" xmlns:a16="http://schemas.microsoft.com/office/drawing/2014/main" id="{B16B050C-C9E2-4B7D-AEC7-D7736FBE9A21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401" name="Line 59406">
          <a:extLst>
            <a:ext uri="{FF2B5EF4-FFF2-40B4-BE49-F238E27FC236}">
              <a16:creationId xmlns="" xmlns:a16="http://schemas.microsoft.com/office/drawing/2014/main" id="{727A1B07-A22B-442A-B1BE-0EE1CE297010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402" name="Line 59407">
          <a:extLst>
            <a:ext uri="{FF2B5EF4-FFF2-40B4-BE49-F238E27FC236}">
              <a16:creationId xmlns="" xmlns:a16="http://schemas.microsoft.com/office/drawing/2014/main" id="{BD3D9D89-E499-4927-87DA-F0AB7CCA3E15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403" name="Line 59426">
          <a:extLst>
            <a:ext uri="{FF2B5EF4-FFF2-40B4-BE49-F238E27FC236}">
              <a16:creationId xmlns="" xmlns:a16="http://schemas.microsoft.com/office/drawing/2014/main" id="{81BCD496-9211-4AB8-AD50-93356F838740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404" name="Line 59427">
          <a:extLst>
            <a:ext uri="{FF2B5EF4-FFF2-40B4-BE49-F238E27FC236}">
              <a16:creationId xmlns="" xmlns:a16="http://schemas.microsoft.com/office/drawing/2014/main" id="{49324D4C-0794-4822-A5F3-776AC745EDB9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405" name="Line 59446">
          <a:extLst>
            <a:ext uri="{FF2B5EF4-FFF2-40B4-BE49-F238E27FC236}">
              <a16:creationId xmlns="" xmlns:a16="http://schemas.microsoft.com/office/drawing/2014/main" id="{FC744E68-6625-4E84-95A4-464205931AE4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406" name="Line 59447">
          <a:extLst>
            <a:ext uri="{FF2B5EF4-FFF2-40B4-BE49-F238E27FC236}">
              <a16:creationId xmlns="" xmlns:a16="http://schemas.microsoft.com/office/drawing/2014/main" id="{6E7D7F1E-01E2-4003-B99B-C1CD365DF4B7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407" name="Line 59466">
          <a:extLst>
            <a:ext uri="{FF2B5EF4-FFF2-40B4-BE49-F238E27FC236}">
              <a16:creationId xmlns="" xmlns:a16="http://schemas.microsoft.com/office/drawing/2014/main" id="{C9338DF4-EC43-4662-804D-E8FA049B378B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408" name="Line 59467">
          <a:extLst>
            <a:ext uri="{FF2B5EF4-FFF2-40B4-BE49-F238E27FC236}">
              <a16:creationId xmlns="" xmlns:a16="http://schemas.microsoft.com/office/drawing/2014/main" id="{31506598-AB5F-4009-A6B0-5AFFD2FE570A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409" name="Line 59486">
          <a:extLst>
            <a:ext uri="{FF2B5EF4-FFF2-40B4-BE49-F238E27FC236}">
              <a16:creationId xmlns="" xmlns:a16="http://schemas.microsoft.com/office/drawing/2014/main" id="{746F229F-EE3A-4F97-AAA4-B1C49F97A2AE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410" name="Line 59487">
          <a:extLst>
            <a:ext uri="{FF2B5EF4-FFF2-40B4-BE49-F238E27FC236}">
              <a16:creationId xmlns="" xmlns:a16="http://schemas.microsoft.com/office/drawing/2014/main" id="{CDDF520D-1793-49E6-99F1-F3BC0EB483B2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411" name="Line 59508">
          <a:extLst>
            <a:ext uri="{FF2B5EF4-FFF2-40B4-BE49-F238E27FC236}">
              <a16:creationId xmlns="" xmlns:a16="http://schemas.microsoft.com/office/drawing/2014/main" id="{713F755D-8C3A-4E2C-87AA-0795E83A33E9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412" name="Line 59509">
          <a:extLst>
            <a:ext uri="{FF2B5EF4-FFF2-40B4-BE49-F238E27FC236}">
              <a16:creationId xmlns="" xmlns:a16="http://schemas.microsoft.com/office/drawing/2014/main" id="{6CACB01F-6F90-400D-9F72-5AB14A3AABD6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413" name="Line 59510">
          <a:extLst>
            <a:ext uri="{FF2B5EF4-FFF2-40B4-BE49-F238E27FC236}">
              <a16:creationId xmlns="" xmlns:a16="http://schemas.microsoft.com/office/drawing/2014/main" id="{EB67928B-EA0C-45CE-BA81-8E08E6745BC7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414" name="Line 59511">
          <a:extLst>
            <a:ext uri="{FF2B5EF4-FFF2-40B4-BE49-F238E27FC236}">
              <a16:creationId xmlns="" xmlns:a16="http://schemas.microsoft.com/office/drawing/2014/main" id="{B9D4E01A-E747-4AE9-86D3-5C646EF9F22E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415" name="Line 59512">
          <a:extLst>
            <a:ext uri="{FF2B5EF4-FFF2-40B4-BE49-F238E27FC236}">
              <a16:creationId xmlns="" xmlns:a16="http://schemas.microsoft.com/office/drawing/2014/main" id="{0A429871-DD56-4D24-B195-8093E9EF272D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416" name="Line 59513">
          <a:extLst>
            <a:ext uri="{FF2B5EF4-FFF2-40B4-BE49-F238E27FC236}">
              <a16:creationId xmlns="" xmlns:a16="http://schemas.microsoft.com/office/drawing/2014/main" id="{DBD6CE63-D9F1-4E09-A380-05BC6EBEC375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511" name="Line 59402">
          <a:extLst>
            <a:ext uri="{FF2B5EF4-FFF2-40B4-BE49-F238E27FC236}">
              <a16:creationId xmlns="" xmlns:a16="http://schemas.microsoft.com/office/drawing/2014/main" id="{C95FE02B-718D-43E9-A1DF-1373DD85EDC0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513" name="Line 59403">
          <a:extLst>
            <a:ext uri="{FF2B5EF4-FFF2-40B4-BE49-F238E27FC236}">
              <a16:creationId xmlns="" xmlns:a16="http://schemas.microsoft.com/office/drawing/2014/main" id="{4729F695-CF55-46CE-BDB3-A963B277687D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525" name="Line 59422">
          <a:extLst>
            <a:ext uri="{FF2B5EF4-FFF2-40B4-BE49-F238E27FC236}">
              <a16:creationId xmlns="" xmlns:a16="http://schemas.microsoft.com/office/drawing/2014/main" id="{5C568B4B-14DC-4B7A-BBCA-B9BC011CC8D0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527" name="Line 59423">
          <a:extLst>
            <a:ext uri="{FF2B5EF4-FFF2-40B4-BE49-F238E27FC236}">
              <a16:creationId xmlns="" xmlns:a16="http://schemas.microsoft.com/office/drawing/2014/main" id="{DE14F107-1D28-451C-A69D-F6F7ECD6D917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529" name="Line 59442">
          <a:extLst>
            <a:ext uri="{FF2B5EF4-FFF2-40B4-BE49-F238E27FC236}">
              <a16:creationId xmlns="" xmlns:a16="http://schemas.microsoft.com/office/drawing/2014/main" id="{4F830E7D-F1E1-44AA-BCE3-7BAE971E2CCE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531" name="Line 59443">
          <a:extLst>
            <a:ext uri="{FF2B5EF4-FFF2-40B4-BE49-F238E27FC236}">
              <a16:creationId xmlns="" xmlns:a16="http://schemas.microsoft.com/office/drawing/2014/main" id="{464B2B2D-9FAE-48CC-A2BD-4B8EBAE55E29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533" name="Line 59462">
          <a:extLst>
            <a:ext uri="{FF2B5EF4-FFF2-40B4-BE49-F238E27FC236}">
              <a16:creationId xmlns="" xmlns:a16="http://schemas.microsoft.com/office/drawing/2014/main" id="{E1540381-A9D9-455C-A8D1-DF8103F152DF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535" name="Line 59463">
          <a:extLst>
            <a:ext uri="{FF2B5EF4-FFF2-40B4-BE49-F238E27FC236}">
              <a16:creationId xmlns="" xmlns:a16="http://schemas.microsoft.com/office/drawing/2014/main" id="{BF17D626-4516-4AAD-BE59-E7A051E41F2B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702" name="Line 59482">
          <a:extLst>
            <a:ext uri="{FF2B5EF4-FFF2-40B4-BE49-F238E27FC236}">
              <a16:creationId xmlns="" xmlns:a16="http://schemas.microsoft.com/office/drawing/2014/main" id="{F26D53A0-264E-4173-9643-1AD52B1DCD77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704" name="Line 59483">
          <a:extLst>
            <a:ext uri="{FF2B5EF4-FFF2-40B4-BE49-F238E27FC236}">
              <a16:creationId xmlns="" xmlns:a16="http://schemas.microsoft.com/office/drawing/2014/main" id="{6BFA4975-AB74-4BB3-BD6C-0AE84486DEEB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706" name="Line 59502">
          <a:extLst>
            <a:ext uri="{FF2B5EF4-FFF2-40B4-BE49-F238E27FC236}">
              <a16:creationId xmlns="" xmlns:a16="http://schemas.microsoft.com/office/drawing/2014/main" id="{042B393E-D086-46C2-A701-16413C823C2A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4708" name="Line 59503">
          <a:extLst>
            <a:ext uri="{FF2B5EF4-FFF2-40B4-BE49-F238E27FC236}">
              <a16:creationId xmlns="" xmlns:a16="http://schemas.microsoft.com/office/drawing/2014/main" id="{5C0839E6-AB67-4259-B247-C0CE03501A8C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710" name="Line 59406">
          <a:extLst>
            <a:ext uri="{FF2B5EF4-FFF2-40B4-BE49-F238E27FC236}">
              <a16:creationId xmlns="" xmlns:a16="http://schemas.microsoft.com/office/drawing/2014/main" id="{1F76D9DC-4DB2-4767-8D8F-5F624E1AF16A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712" name="Line 59407">
          <a:extLst>
            <a:ext uri="{FF2B5EF4-FFF2-40B4-BE49-F238E27FC236}">
              <a16:creationId xmlns="" xmlns:a16="http://schemas.microsoft.com/office/drawing/2014/main" id="{19546DED-F1A4-48C0-9C47-EB3C4C1BC194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714" name="Line 59426">
          <a:extLst>
            <a:ext uri="{FF2B5EF4-FFF2-40B4-BE49-F238E27FC236}">
              <a16:creationId xmlns="" xmlns:a16="http://schemas.microsoft.com/office/drawing/2014/main" id="{5289E751-F674-4677-9BCB-34D7639844BD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716" name="Line 59427">
          <a:extLst>
            <a:ext uri="{FF2B5EF4-FFF2-40B4-BE49-F238E27FC236}">
              <a16:creationId xmlns="" xmlns:a16="http://schemas.microsoft.com/office/drawing/2014/main" id="{67A484E3-4C0A-44E9-994F-6F752049D7B3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755" name="Line 59446">
          <a:extLst>
            <a:ext uri="{FF2B5EF4-FFF2-40B4-BE49-F238E27FC236}">
              <a16:creationId xmlns="" xmlns:a16="http://schemas.microsoft.com/office/drawing/2014/main" id="{85EA28AF-A8FB-43C2-AD01-ADA24EADD887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758" name="Line 59447">
          <a:extLst>
            <a:ext uri="{FF2B5EF4-FFF2-40B4-BE49-F238E27FC236}">
              <a16:creationId xmlns="" xmlns:a16="http://schemas.microsoft.com/office/drawing/2014/main" id="{A2FF2DF6-31CB-4070-9815-E39A872CDD31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4759" name="Line 59466">
          <a:extLst>
            <a:ext uri="{FF2B5EF4-FFF2-40B4-BE49-F238E27FC236}">
              <a16:creationId xmlns="" xmlns:a16="http://schemas.microsoft.com/office/drawing/2014/main" id="{42441786-8510-4E38-9876-01ACE429E229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4760" name="Line 59467">
          <a:extLst>
            <a:ext uri="{FF2B5EF4-FFF2-40B4-BE49-F238E27FC236}">
              <a16:creationId xmlns="" xmlns:a16="http://schemas.microsoft.com/office/drawing/2014/main" id="{DEB7FF0F-70CA-48CF-AFE6-B93D4421E22E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250" name="Line 59486">
          <a:extLst>
            <a:ext uri="{FF2B5EF4-FFF2-40B4-BE49-F238E27FC236}">
              <a16:creationId xmlns="" xmlns:a16="http://schemas.microsoft.com/office/drawing/2014/main" id="{AB734688-B0A5-4FF2-9A40-9E62708E6C9D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251" name="Line 59487">
          <a:extLst>
            <a:ext uri="{FF2B5EF4-FFF2-40B4-BE49-F238E27FC236}">
              <a16:creationId xmlns="" xmlns:a16="http://schemas.microsoft.com/office/drawing/2014/main" id="{1F9F2D22-1336-4DD9-A885-9315A5CA230A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255" name="Line 59508">
          <a:extLst>
            <a:ext uri="{FF2B5EF4-FFF2-40B4-BE49-F238E27FC236}">
              <a16:creationId xmlns="" xmlns:a16="http://schemas.microsoft.com/office/drawing/2014/main" id="{498B338B-AEFA-4245-BCCD-86A079D5D37B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329" name="Line 59509">
          <a:extLst>
            <a:ext uri="{FF2B5EF4-FFF2-40B4-BE49-F238E27FC236}">
              <a16:creationId xmlns="" xmlns:a16="http://schemas.microsoft.com/office/drawing/2014/main" id="{162F336C-88E5-4FFE-B01D-ACD89830A252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31" name="Line 59510">
          <a:extLst>
            <a:ext uri="{FF2B5EF4-FFF2-40B4-BE49-F238E27FC236}">
              <a16:creationId xmlns="" xmlns:a16="http://schemas.microsoft.com/office/drawing/2014/main" id="{B85AADA9-DF79-452F-85B8-8FC93A0683E3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333" name="Line 59511">
          <a:extLst>
            <a:ext uri="{FF2B5EF4-FFF2-40B4-BE49-F238E27FC236}">
              <a16:creationId xmlns="" xmlns:a16="http://schemas.microsoft.com/office/drawing/2014/main" id="{B1FA3A13-B6D4-42C8-B186-890326D3C4AE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35" name="Line 59512">
          <a:extLst>
            <a:ext uri="{FF2B5EF4-FFF2-40B4-BE49-F238E27FC236}">
              <a16:creationId xmlns="" xmlns:a16="http://schemas.microsoft.com/office/drawing/2014/main" id="{4DFD40F0-A752-4C98-B8CA-F794315EAB39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337" name="Line 59513">
          <a:extLst>
            <a:ext uri="{FF2B5EF4-FFF2-40B4-BE49-F238E27FC236}">
              <a16:creationId xmlns="" xmlns:a16="http://schemas.microsoft.com/office/drawing/2014/main" id="{DDD9CD3A-5D17-400F-8C62-67B551A5D3F6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39" name="Line 59402">
          <a:extLst>
            <a:ext uri="{FF2B5EF4-FFF2-40B4-BE49-F238E27FC236}">
              <a16:creationId xmlns="" xmlns:a16="http://schemas.microsoft.com/office/drawing/2014/main" id="{9135D2B2-4F26-4527-8EFC-BE65B5DF3F4C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5341" name="Line 59403">
          <a:extLst>
            <a:ext uri="{FF2B5EF4-FFF2-40B4-BE49-F238E27FC236}">
              <a16:creationId xmlns="" xmlns:a16="http://schemas.microsoft.com/office/drawing/2014/main" id="{A7F8C9E0-9BF6-48FE-900E-62C529F36FAC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43" name="Line 59422">
          <a:extLst>
            <a:ext uri="{FF2B5EF4-FFF2-40B4-BE49-F238E27FC236}">
              <a16:creationId xmlns="" xmlns:a16="http://schemas.microsoft.com/office/drawing/2014/main" id="{8B366A8A-D828-4F66-B10D-6055F29245A8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5345" name="Line 59423">
          <a:extLst>
            <a:ext uri="{FF2B5EF4-FFF2-40B4-BE49-F238E27FC236}">
              <a16:creationId xmlns="" xmlns:a16="http://schemas.microsoft.com/office/drawing/2014/main" id="{7E366F8A-C9F5-4C10-9B94-BEF03C18B1E1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47" name="Line 59442">
          <a:extLst>
            <a:ext uri="{FF2B5EF4-FFF2-40B4-BE49-F238E27FC236}">
              <a16:creationId xmlns="" xmlns:a16="http://schemas.microsoft.com/office/drawing/2014/main" id="{FCF567E1-A49B-49C7-B61C-24EFFE41913E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5349" name="Line 59443">
          <a:extLst>
            <a:ext uri="{FF2B5EF4-FFF2-40B4-BE49-F238E27FC236}">
              <a16:creationId xmlns="" xmlns:a16="http://schemas.microsoft.com/office/drawing/2014/main" id="{A25E206F-6F3E-4DF5-867B-F45D62B4B18F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51" name="Line 59462">
          <a:extLst>
            <a:ext uri="{FF2B5EF4-FFF2-40B4-BE49-F238E27FC236}">
              <a16:creationId xmlns="" xmlns:a16="http://schemas.microsoft.com/office/drawing/2014/main" id="{3C0ED7A5-027D-4DB2-976A-FFCAA5310108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5353" name="Line 59463">
          <a:extLst>
            <a:ext uri="{FF2B5EF4-FFF2-40B4-BE49-F238E27FC236}">
              <a16:creationId xmlns="" xmlns:a16="http://schemas.microsoft.com/office/drawing/2014/main" id="{AD13AB9F-2621-4974-9535-96D2009F74CF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55" name="Line 59482">
          <a:extLst>
            <a:ext uri="{FF2B5EF4-FFF2-40B4-BE49-F238E27FC236}">
              <a16:creationId xmlns="" xmlns:a16="http://schemas.microsoft.com/office/drawing/2014/main" id="{2B8AD0FE-9564-4787-B5C2-39BD0835C154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5357" name="Line 59483">
          <a:extLst>
            <a:ext uri="{FF2B5EF4-FFF2-40B4-BE49-F238E27FC236}">
              <a16:creationId xmlns="" xmlns:a16="http://schemas.microsoft.com/office/drawing/2014/main" id="{09F6048B-F714-473B-8C2E-91AB86E80C29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19050</xdr:rowOff>
    </xdr:from>
    <xdr:to>
      <xdr:col>5</xdr:col>
      <xdr:colOff>0</xdr:colOff>
      <xdr:row>84</xdr:row>
      <xdr:rowOff>266700</xdr:rowOff>
    </xdr:to>
    <xdr:sp macro="" textlink="">
      <xdr:nvSpPr>
        <xdr:cNvPr id="125359" name="Line 59503">
          <a:extLst>
            <a:ext uri="{FF2B5EF4-FFF2-40B4-BE49-F238E27FC236}">
              <a16:creationId xmlns="" xmlns:a16="http://schemas.microsoft.com/office/drawing/2014/main" id="{E0876B25-60C9-43C4-AB9F-D56BB2E07A28}"/>
            </a:ext>
          </a:extLst>
        </xdr:cNvPr>
        <xdr:cNvSpPr>
          <a:spLocks noChangeShapeType="1"/>
        </xdr:cNvSpPr>
      </xdr:nvSpPr>
      <xdr:spPr bwMode="auto">
        <a:xfrm>
          <a:off x="920750" y="21786850"/>
          <a:ext cx="0" cy="24765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61" name="Line 59406">
          <a:extLst>
            <a:ext uri="{FF2B5EF4-FFF2-40B4-BE49-F238E27FC236}">
              <a16:creationId xmlns="" xmlns:a16="http://schemas.microsoft.com/office/drawing/2014/main" id="{56F84543-D000-4F05-8FFC-A55C8C13E695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363" name="Line 59407">
          <a:extLst>
            <a:ext uri="{FF2B5EF4-FFF2-40B4-BE49-F238E27FC236}">
              <a16:creationId xmlns="" xmlns:a16="http://schemas.microsoft.com/office/drawing/2014/main" id="{85A3B95D-DE04-4C95-A1C6-4F46525A3D22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65" name="Line 59426">
          <a:extLst>
            <a:ext uri="{FF2B5EF4-FFF2-40B4-BE49-F238E27FC236}">
              <a16:creationId xmlns="" xmlns:a16="http://schemas.microsoft.com/office/drawing/2014/main" id="{76E10FE6-8ED2-48C7-8927-F00A4ED6BC2E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367" name="Line 59427">
          <a:extLst>
            <a:ext uri="{FF2B5EF4-FFF2-40B4-BE49-F238E27FC236}">
              <a16:creationId xmlns="" xmlns:a16="http://schemas.microsoft.com/office/drawing/2014/main" id="{158B74AF-50E4-47FE-9BD8-9D1CA203A244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69" name="Line 59446">
          <a:extLst>
            <a:ext uri="{FF2B5EF4-FFF2-40B4-BE49-F238E27FC236}">
              <a16:creationId xmlns="" xmlns:a16="http://schemas.microsoft.com/office/drawing/2014/main" id="{775853B3-9650-417D-A922-0BC1730AB7D2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371" name="Line 59447">
          <a:extLst>
            <a:ext uri="{FF2B5EF4-FFF2-40B4-BE49-F238E27FC236}">
              <a16:creationId xmlns="" xmlns:a16="http://schemas.microsoft.com/office/drawing/2014/main" id="{13B7CDE5-4585-437E-B345-941406A0BEBB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73" name="Line 59466">
          <a:extLst>
            <a:ext uri="{FF2B5EF4-FFF2-40B4-BE49-F238E27FC236}">
              <a16:creationId xmlns="" xmlns:a16="http://schemas.microsoft.com/office/drawing/2014/main" id="{3370C478-3095-4924-937F-43F4A6AFBACC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375" name="Line 59467">
          <a:extLst>
            <a:ext uri="{FF2B5EF4-FFF2-40B4-BE49-F238E27FC236}">
              <a16:creationId xmlns="" xmlns:a16="http://schemas.microsoft.com/office/drawing/2014/main" id="{840CCFC0-D5F5-41AF-A009-4C4D8BB4989C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77" name="Line 59486">
          <a:extLst>
            <a:ext uri="{FF2B5EF4-FFF2-40B4-BE49-F238E27FC236}">
              <a16:creationId xmlns="" xmlns:a16="http://schemas.microsoft.com/office/drawing/2014/main" id="{B7ED62DF-FC11-4276-AADB-F853F5D22455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379" name="Line 59487">
          <a:extLst>
            <a:ext uri="{FF2B5EF4-FFF2-40B4-BE49-F238E27FC236}">
              <a16:creationId xmlns="" xmlns:a16="http://schemas.microsoft.com/office/drawing/2014/main" id="{0D729A12-8732-4A5D-B7B3-363628964A97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81" name="Line 59508">
          <a:extLst>
            <a:ext uri="{FF2B5EF4-FFF2-40B4-BE49-F238E27FC236}">
              <a16:creationId xmlns="" xmlns:a16="http://schemas.microsoft.com/office/drawing/2014/main" id="{E70F09E6-9E5C-4DD4-BE30-4E3595DA1C6F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382" name="Line 59509">
          <a:extLst>
            <a:ext uri="{FF2B5EF4-FFF2-40B4-BE49-F238E27FC236}">
              <a16:creationId xmlns="" xmlns:a16="http://schemas.microsoft.com/office/drawing/2014/main" id="{ACAB301E-4567-40E8-8780-AD43A2EB2DEA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83" name="Line 59510">
          <a:extLst>
            <a:ext uri="{FF2B5EF4-FFF2-40B4-BE49-F238E27FC236}">
              <a16:creationId xmlns="" xmlns:a16="http://schemas.microsoft.com/office/drawing/2014/main" id="{E89CF708-02BB-4B1D-8A8D-E875345DA0C9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384" name="Line 59511">
          <a:extLst>
            <a:ext uri="{FF2B5EF4-FFF2-40B4-BE49-F238E27FC236}">
              <a16:creationId xmlns="" xmlns:a16="http://schemas.microsoft.com/office/drawing/2014/main" id="{406989AC-67C4-4087-B13D-01433A968BEA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84</xdr:row>
      <xdr:rowOff>0</xdr:rowOff>
    </xdr:from>
    <xdr:to>
      <xdr:col>11</xdr:col>
      <xdr:colOff>25400</xdr:colOff>
      <xdr:row>84</xdr:row>
      <xdr:rowOff>0</xdr:rowOff>
    </xdr:to>
    <xdr:sp macro="" textlink="">
      <xdr:nvSpPr>
        <xdr:cNvPr id="125385" name="Line 59512">
          <a:extLst>
            <a:ext uri="{FF2B5EF4-FFF2-40B4-BE49-F238E27FC236}">
              <a16:creationId xmlns="" xmlns:a16="http://schemas.microsoft.com/office/drawing/2014/main" id="{27DDB072-893D-4E91-8F8C-FF174150B722}"/>
            </a:ext>
          </a:extLst>
        </xdr:cNvPr>
        <xdr:cNvSpPr>
          <a:spLocks noChangeShapeType="1"/>
        </xdr:cNvSpPr>
      </xdr:nvSpPr>
      <xdr:spPr bwMode="auto">
        <a:xfrm>
          <a:off x="317500" y="21767800"/>
          <a:ext cx="1733550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84</xdr:row>
      <xdr:rowOff>38100</xdr:rowOff>
    </xdr:from>
    <xdr:to>
      <xdr:col>5</xdr:col>
      <xdr:colOff>0</xdr:colOff>
      <xdr:row>84</xdr:row>
      <xdr:rowOff>393700</xdr:rowOff>
    </xdr:to>
    <xdr:sp macro="" textlink="">
      <xdr:nvSpPr>
        <xdr:cNvPr id="125387" name="Line 59513">
          <a:extLst>
            <a:ext uri="{FF2B5EF4-FFF2-40B4-BE49-F238E27FC236}">
              <a16:creationId xmlns="" xmlns:a16="http://schemas.microsoft.com/office/drawing/2014/main" id="{53AE7A38-853A-4652-B8AE-A61CE1EBD8DA}"/>
            </a:ext>
          </a:extLst>
        </xdr:cNvPr>
        <xdr:cNvSpPr>
          <a:spLocks noChangeShapeType="1"/>
        </xdr:cNvSpPr>
      </xdr:nvSpPr>
      <xdr:spPr bwMode="auto">
        <a:xfrm>
          <a:off x="920750" y="21805900"/>
          <a:ext cx="0" cy="30480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44450</xdr:colOff>
      <xdr:row>31</xdr:row>
      <xdr:rowOff>6350</xdr:rowOff>
    </xdr:from>
    <xdr:to>
      <xdr:col>10</xdr:col>
      <xdr:colOff>120650</xdr:colOff>
      <xdr:row>31</xdr:row>
      <xdr:rowOff>6350</xdr:rowOff>
    </xdr:to>
    <xdr:sp macro="" textlink="">
      <xdr:nvSpPr>
        <xdr:cNvPr id="125389" name="Line 60115">
          <a:extLst>
            <a:ext uri="{FF2B5EF4-FFF2-40B4-BE49-F238E27FC236}">
              <a16:creationId xmlns="" xmlns:a16="http://schemas.microsoft.com/office/drawing/2014/main" id="{81341D17-5F52-4093-BF40-2C5009B3BDA8}"/>
            </a:ext>
          </a:extLst>
        </xdr:cNvPr>
        <xdr:cNvSpPr>
          <a:spLocks noChangeShapeType="1"/>
        </xdr:cNvSpPr>
      </xdr:nvSpPr>
      <xdr:spPr bwMode="auto">
        <a:xfrm>
          <a:off x="228600" y="9496425"/>
          <a:ext cx="17049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0</xdr:colOff>
      <xdr:row>31</xdr:row>
      <xdr:rowOff>184150</xdr:rowOff>
    </xdr:to>
    <xdr:sp macro="" textlink="">
      <xdr:nvSpPr>
        <xdr:cNvPr id="125391" name="Line 59590">
          <a:extLst>
            <a:ext uri="{FF2B5EF4-FFF2-40B4-BE49-F238E27FC236}">
              <a16:creationId xmlns="" xmlns:a16="http://schemas.microsoft.com/office/drawing/2014/main" id="{6E6A5D5B-3B4C-472D-AC69-9E6DCA23DEB8}"/>
            </a:ext>
          </a:extLst>
        </xdr:cNvPr>
        <xdr:cNvSpPr>
          <a:spLocks noChangeShapeType="1"/>
        </xdr:cNvSpPr>
      </xdr:nvSpPr>
      <xdr:spPr bwMode="auto">
        <a:xfrm>
          <a:off x="904875" y="9486900"/>
          <a:ext cx="0" cy="180975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33</xdr:row>
      <xdr:rowOff>0</xdr:rowOff>
    </xdr:from>
    <xdr:to>
      <xdr:col>5</xdr:col>
      <xdr:colOff>0</xdr:colOff>
      <xdr:row>33</xdr:row>
      <xdr:rowOff>184150</xdr:rowOff>
    </xdr:to>
    <xdr:sp macro="" textlink="">
      <xdr:nvSpPr>
        <xdr:cNvPr id="125395" name="Line 59590">
          <a:extLst>
            <a:ext uri="{FF2B5EF4-FFF2-40B4-BE49-F238E27FC236}">
              <a16:creationId xmlns="" xmlns:a16="http://schemas.microsoft.com/office/drawing/2014/main" id="{9E1879BA-271E-4472-AA5D-D4081D209238}"/>
            </a:ext>
          </a:extLst>
        </xdr:cNvPr>
        <xdr:cNvSpPr>
          <a:spLocks noChangeShapeType="1"/>
        </xdr:cNvSpPr>
      </xdr:nvSpPr>
      <xdr:spPr bwMode="auto">
        <a:xfrm>
          <a:off x="904875" y="10001250"/>
          <a:ext cx="0" cy="180975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44450</xdr:colOff>
      <xdr:row>33</xdr:row>
      <xdr:rowOff>6350</xdr:rowOff>
    </xdr:from>
    <xdr:to>
      <xdr:col>10</xdr:col>
      <xdr:colOff>120650</xdr:colOff>
      <xdr:row>33</xdr:row>
      <xdr:rowOff>6350</xdr:rowOff>
    </xdr:to>
    <xdr:sp macro="" textlink="">
      <xdr:nvSpPr>
        <xdr:cNvPr id="125397" name="Line 60115">
          <a:extLst>
            <a:ext uri="{FF2B5EF4-FFF2-40B4-BE49-F238E27FC236}">
              <a16:creationId xmlns="" xmlns:a16="http://schemas.microsoft.com/office/drawing/2014/main" id="{D3976CB6-6FCB-41C2-B607-1F2E21AE59FB}"/>
            </a:ext>
          </a:extLst>
        </xdr:cNvPr>
        <xdr:cNvSpPr>
          <a:spLocks noChangeShapeType="1"/>
        </xdr:cNvSpPr>
      </xdr:nvSpPr>
      <xdr:spPr bwMode="auto">
        <a:xfrm>
          <a:off x="228600" y="10525125"/>
          <a:ext cx="17049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177800</xdr:colOff>
      <xdr:row>33</xdr:row>
      <xdr:rowOff>38100</xdr:rowOff>
    </xdr:from>
    <xdr:to>
      <xdr:col>4</xdr:col>
      <xdr:colOff>177800</xdr:colOff>
      <xdr:row>33</xdr:row>
      <xdr:rowOff>222250</xdr:rowOff>
    </xdr:to>
    <xdr:sp macro="" textlink="">
      <xdr:nvSpPr>
        <xdr:cNvPr id="125399" name="Line 59590">
          <a:extLst>
            <a:ext uri="{FF2B5EF4-FFF2-40B4-BE49-F238E27FC236}">
              <a16:creationId xmlns="" xmlns:a16="http://schemas.microsoft.com/office/drawing/2014/main" id="{12B9FEA6-BE15-4B19-81AF-7BE9792EFE5E}"/>
            </a:ext>
          </a:extLst>
        </xdr:cNvPr>
        <xdr:cNvSpPr>
          <a:spLocks noChangeShapeType="1"/>
        </xdr:cNvSpPr>
      </xdr:nvSpPr>
      <xdr:spPr bwMode="auto">
        <a:xfrm>
          <a:off x="904875" y="10553700"/>
          <a:ext cx="0" cy="180975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69850</xdr:colOff>
      <xdr:row>33</xdr:row>
      <xdr:rowOff>6350</xdr:rowOff>
    </xdr:from>
    <xdr:to>
      <xdr:col>10</xdr:col>
      <xdr:colOff>146050</xdr:colOff>
      <xdr:row>33</xdr:row>
      <xdr:rowOff>6350</xdr:rowOff>
    </xdr:to>
    <xdr:sp macro="" textlink="">
      <xdr:nvSpPr>
        <xdr:cNvPr id="125401" name="Line 60115">
          <a:extLst>
            <a:ext uri="{FF2B5EF4-FFF2-40B4-BE49-F238E27FC236}">
              <a16:creationId xmlns="" xmlns:a16="http://schemas.microsoft.com/office/drawing/2014/main" id="{34EE2E1D-7734-4534-AB46-669DBD64F485}"/>
            </a:ext>
          </a:extLst>
        </xdr:cNvPr>
        <xdr:cNvSpPr>
          <a:spLocks noChangeShapeType="1"/>
        </xdr:cNvSpPr>
      </xdr:nvSpPr>
      <xdr:spPr bwMode="auto">
        <a:xfrm>
          <a:off x="247650" y="10525125"/>
          <a:ext cx="1704975" cy="0"/>
        </a:xfrm>
        <a:prstGeom prst="line">
          <a:avLst/>
        </a:prstGeom>
        <a:noFill/>
        <a:ln w="317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N99"/>
  <sheetViews>
    <sheetView showGridLines="0" tabSelected="1" zoomScaleNormal="100" zoomScaleSheetLayoutView="115" zoomScalePageLayoutView="80" workbookViewId="0">
      <selection activeCell="E10" sqref="E10:T21"/>
    </sheetView>
  </sheetViews>
  <sheetFormatPr defaultColWidth="9" defaultRowHeight="13.5"/>
  <cols>
    <col min="1" max="53" width="2.625" style="1" customWidth="1"/>
    <col min="54" max="54" width="2.875" style="1" customWidth="1"/>
    <col min="55" max="55" width="2.625" style="1" customWidth="1"/>
    <col min="56" max="16384" width="9" style="1"/>
  </cols>
  <sheetData>
    <row r="1" spans="1:55">
      <c r="AJ1" s="2"/>
      <c r="AK1" s="2"/>
      <c r="AM1" s="2"/>
      <c r="AN1" s="2"/>
      <c r="AP1" s="2"/>
      <c r="AQ1" s="2"/>
      <c r="AT1" s="10"/>
      <c r="AU1" s="61">
        <v>46174</v>
      </c>
      <c r="AV1" s="61"/>
      <c r="AW1" s="61"/>
      <c r="AX1" s="61"/>
      <c r="AY1" s="61"/>
      <c r="AZ1" s="61"/>
      <c r="BA1" s="61"/>
      <c r="BB1" s="10" t="s">
        <v>19</v>
      </c>
      <c r="BC1" s="10" t="s">
        <v>20</v>
      </c>
    </row>
    <row r="2" spans="1:55" ht="30.75" customHeight="1">
      <c r="A2" s="75" t="s">
        <v>17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</row>
    <row r="3" spans="1:55" ht="18.75" customHeight="1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</row>
    <row r="4" spans="1:55" s="3" customFormat="1" ht="14.25" customHeight="1">
      <c r="A4" s="78" t="s">
        <v>66</v>
      </c>
      <c r="B4" s="79"/>
      <c r="C4" s="79"/>
      <c r="D4" s="80"/>
      <c r="E4" s="226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2"/>
      <c r="U4" s="83" t="s">
        <v>67</v>
      </c>
      <c r="V4" s="84"/>
      <c r="W4" s="85"/>
      <c r="X4" s="89" t="s">
        <v>68</v>
      </c>
      <c r="Y4" s="90"/>
      <c r="Z4" s="83" t="s">
        <v>69</v>
      </c>
      <c r="AA4" s="84"/>
      <c r="AB4" s="84"/>
      <c r="AC4" s="85"/>
      <c r="AD4" s="93">
        <v>25851</v>
      </c>
      <c r="AE4" s="93"/>
      <c r="AF4" s="93"/>
      <c r="AG4" s="93"/>
      <c r="AH4" s="93"/>
      <c r="AI4" s="93"/>
      <c r="AJ4" s="93"/>
      <c r="AK4" s="93"/>
      <c r="AL4" s="93"/>
      <c r="AM4" s="93"/>
      <c r="AN4" s="94"/>
      <c r="AO4" s="83" t="s">
        <v>0</v>
      </c>
      <c r="AP4" s="85"/>
      <c r="AQ4" s="103">
        <f>IF(AD4="","",DATEDIF(AD4,$AU$1,"Ｙ"))</f>
        <v>55</v>
      </c>
      <c r="AR4" s="120"/>
      <c r="AS4" s="59" t="s">
        <v>4</v>
      </c>
      <c r="AT4" s="97" t="s">
        <v>13</v>
      </c>
      <c r="AU4" s="98"/>
      <c r="AV4" s="99"/>
      <c r="AW4" s="207">
        <f>ROUNDDOWN((SUM(BB25:BC34)+SUM(BB43:BC62)+SUM(BB72:BC85)+SUM(BB96:BC99))/12,0)</f>
        <v>34</v>
      </c>
      <c r="AX4" s="208"/>
      <c r="AY4" s="89" t="s">
        <v>5</v>
      </c>
      <c r="AZ4" s="145">
        <f>(SUM(BB25:BC34)+SUM(BB43:BC62)+SUM(BB72:BC85)+SUM(BB96:BC99))-(AW4*12)</f>
        <v>9</v>
      </c>
      <c r="BA4" s="145"/>
      <c r="BB4" s="232" t="s">
        <v>6</v>
      </c>
      <c r="BC4" s="233"/>
    </row>
    <row r="5" spans="1:55" s="3" customFormat="1" ht="26.25" customHeight="1">
      <c r="A5" s="86" t="s">
        <v>70</v>
      </c>
      <c r="B5" s="87"/>
      <c r="C5" s="87"/>
      <c r="D5" s="88"/>
      <c r="E5" s="238" t="s">
        <v>220</v>
      </c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40"/>
      <c r="U5" s="86"/>
      <c r="V5" s="87"/>
      <c r="W5" s="88"/>
      <c r="X5" s="91"/>
      <c r="Y5" s="92"/>
      <c r="Z5" s="86"/>
      <c r="AA5" s="87"/>
      <c r="AB5" s="87"/>
      <c r="AC5" s="88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6"/>
      <c r="AO5" s="86"/>
      <c r="AP5" s="88"/>
      <c r="AQ5" s="105"/>
      <c r="AR5" s="91"/>
      <c r="AS5" s="60"/>
      <c r="AT5" s="100"/>
      <c r="AU5" s="101"/>
      <c r="AV5" s="102"/>
      <c r="AW5" s="209"/>
      <c r="AX5" s="210"/>
      <c r="AY5" s="91"/>
      <c r="AZ5" s="241"/>
      <c r="BA5" s="241"/>
      <c r="BB5" s="234"/>
      <c r="BC5" s="235"/>
    </row>
    <row r="6" spans="1:55" s="3" customFormat="1" ht="15.75" customHeight="1">
      <c r="A6" s="83" t="s">
        <v>27</v>
      </c>
      <c r="B6" s="84"/>
      <c r="C6" s="84"/>
      <c r="D6" s="85"/>
      <c r="E6" s="120" t="s">
        <v>114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04"/>
      <c r="Z6" s="83" t="s">
        <v>28</v>
      </c>
      <c r="AA6" s="84"/>
      <c r="AB6" s="84"/>
      <c r="AC6" s="85"/>
      <c r="AD6" s="120" t="s">
        <v>72</v>
      </c>
      <c r="AE6" s="120"/>
      <c r="AF6" s="120"/>
      <c r="AG6" s="120"/>
      <c r="AH6" s="120"/>
      <c r="AI6" s="120"/>
      <c r="AJ6" s="120"/>
      <c r="AK6" s="120"/>
      <c r="AL6" s="120"/>
      <c r="AM6" s="120"/>
      <c r="AN6" s="104"/>
      <c r="AO6" s="83" t="s">
        <v>29</v>
      </c>
      <c r="AP6" s="84"/>
      <c r="AQ6" s="84"/>
      <c r="AR6" s="85"/>
      <c r="AS6" s="103"/>
      <c r="AT6" s="120"/>
      <c r="AU6" s="120"/>
      <c r="AV6" s="120"/>
      <c r="AW6" s="120"/>
      <c r="AX6" s="120"/>
      <c r="AY6" s="120"/>
      <c r="AZ6" s="120"/>
      <c r="BA6" s="120"/>
      <c r="BB6" s="120"/>
      <c r="BC6" s="104"/>
    </row>
    <row r="7" spans="1:55" s="3" customFormat="1" ht="12" customHeight="1">
      <c r="A7" s="86"/>
      <c r="B7" s="87"/>
      <c r="C7" s="87"/>
      <c r="D7" s="88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2"/>
      <c r="Z7" s="86"/>
      <c r="AA7" s="87"/>
      <c r="AB7" s="87"/>
      <c r="AC7" s="88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2"/>
      <c r="AO7" s="86"/>
      <c r="AP7" s="87"/>
      <c r="AQ7" s="87"/>
      <c r="AR7" s="88"/>
      <c r="AS7" s="105"/>
      <c r="AT7" s="91"/>
      <c r="AU7" s="91"/>
      <c r="AV7" s="91"/>
      <c r="AW7" s="91"/>
      <c r="AX7" s="91"/>
      <c r="AY7" s="91"/>
      <c r="AZ7" s="91"/>
      <c r="BA7" s="91"/>
      <c r="BB7" s="91"/>
      <c r="BC7" s="92"/>
    </row>
    <row r="8" spans="1:55" s="3" customFormat="1" ht="16.5" customHeight="1">
      <c r="A8" s="83" t="s">
        <v>30</v>
      </c>
      <c r="B8" s="84"/>
      <c r="C8" s="84"/>
      <c r="D8" s="85"/>
      <c r="E8" s="103" t="s">
        <v>31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04"/>
      <c r="U8" s="97" t="s">
        <v>32</v>
      </c>
      <c r="V8" s="98"/>
      <c r="W8" s="98"/>
      <c r="X8" s="99"/>
      <c r="Y8" s="120" t="s">
        <v>33</v>
      </c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04"/>
      <c r="AK8" s="83" t="s">
        <v>34</v>
      </c>
      <c r="AL8" s="84"/>
      <c r="AM8" s="84"/>
      <c r="AN8" s="85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6"/>
      <c r="AZ8" s="6"/>
      <c r="BA8" s="6"/>
      <c r="BB8" s="6"/>
      <c r="BC8" s="7"/>
    </row>
    <row r="9" spans="1:55" s="3" customFormat="1" ht="16.5" customHeight="1">
      <c r="A9" s="86"/>
      <c r="B9" s="87"/>
      <c r="C9" s="87"/>
      <c r="D9" s="88"/>
      <c r="E9" s="105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2"/>
      <c r="U9" s="100"/>
      <c r="V9" s="101"/>
      <c r="W9" s="101"/>
      <c r="X9" s="102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2"/>
      <c r="AK9" s="86"/>
      <c r="AL9" s="87"/>
      <c r="AM9" s="87"/>
      <c r="AN9" s="88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4"/>
      <c r="AZ9" s="4"/>
      <c r="BA9" s="4"/>
      <c r="BB9" s="4"/>
      <c r="BC9" s="5"/>
    </row>
    <row r="10" spans="1:55" s="3" customFormat="1" ht="16.5" customHeight="1">
      <c r="A10" s="130" t="s">
        <v>199</v>
      </c>
      <c r="B10" s="131"/>
      <c r="C10" s="131"/>
      <c r="D10" s="132"/>
      <c r="E10" s="121" t="s">
        <v>216</v>
      </c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30" t="s">
        <v>200</v>
      </c>
      <c r="V10" s="131"/>
      <c r="W10" s="131"/>
      <c r="X10" s="132"/>
      <c r="Y10" s="121" t="s">
        <v>219</v>
      </c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7"/>
    </row>
    <row r="11" spans="1:55" s="3" customFormat="1" ht="16.5" customHeight="1">
      <c r="A11" s="133"/>
      <c r="B11" s="134"/>
      <c r="C11" s="134"/>
      <c r="D11" s="135"/>
      <c r="E11" s="123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33"/>
      <c r="V11" s="134"/>
      <c r="W11" s="134"/>
      <c r="X11" s="135"/>
      <c r="Y11" s="123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8"/>
    </row>
    <row r="12" spans="1:55" s="3" customFormat="1" ht="16.5" customHeight="1">
      <c r="A12" s="133"/>
      <c r="B12" s="134"/>
      <c r="C12" s="134"/>
      <c r="D12" s="135"/>
      <c r="E12" s="123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33"/>
      <c r="V12" s="134"/>
      <c r="W12" s="134"/>
      <c r="X12" s="135"/>
      <c r="Y12" s="123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8"/>
    </row>
    <row r="13" spans="1:55" s="3" customFormat="1" ht="16.5" customHeight="1">
      <c r="A13" s="133"/>
      <c r="B13" s="134"/>
      <c r="C13" s="134"/>
      <c r="D13" s="135"/>
      <c r="E13" s="123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33"/>
      <c r="V13" s="134"/>
      <c r="W13" s="134"/>
      <c r="X13" s="135"/>
      <c r="Y13" s="123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8"/>
    </row>
    <row r="14" spans="1:55" s="3" customFormat="1" ht="16.5" customHeight="1">
      <c r="A14" s="133"/>
      <c r="B14" s="134"/>
      <c r="C14" s="134"/>
      <c r="D14" s="135"/>
      <c r="E14" s="123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33"/>
      <c r="V14" s="134"/>
      <c r="W14" s="134"/>
      <c r="X14" s="135"/>
      <c r="Y14" s="123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8"/>
    </row>
    <row r="15" spans="1:55" s="3" customFormat="1" ht="16.5" customHeight="1">
      <c r="A15" s="133"/>
      <c r="B15" s="134"/>
      <c r="C15" s="134"/>
      <c r="D15" s="135"/>
      <c r="E15" s="123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33"/>
      <c r="V15" s="134"/>
      <c r="W15" s="134"/>
      <c r="X15" s="135"/>
      <c r="Y15" s="123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8"/>
    </row>
    <row r="16" spans="1:55" s="3" customFormat="1" ht="16.5" customHeight="1">
      <c r="A16" s="133"/>
      <c r="B16" s="134"/>
      <c r="C16" s="134"/>
      <c r="D16" s="135"/>
      <c r="E16" s="123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33"/>
      <c r="V16" s="134"/>
      <c r="W16" s="134"/>
      <c r="X16" s="135"/>
      <c r="Y16" s="123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8"/>
    </row>
    <row r="17" spans="1:55" s="3" customFormat="1" ht="16.5" customHeight="1">
      <c r="A17" s="133"/>
      <c r="B17" s="134"/>
      <c r="C17" s="134"/>
      <c r="D17" s="135"/>
      <c r="E17" s="123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33"/>
      <c r="V17" s="134"/>
      <c r="W17" s="134"/>
      <c r="X17" s="135"/>
      <c r="Y17" s="123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8"/>
    </row>
    <row r="18" spans="1:55" s="3" customFormat="1" ht="16.5" customHeight="1">
      <c r="A18" s="133"/>
      <c r="B18" s="134"/>
      <c r="C18" s="134"/>
      <c r="D18" s="135"/>
      <c r="E18" s="123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33"/>
      <c r="V18" s="134"/>
      <c r="W18" s="134"/>
      <c r="X18" s="135"/>
      <c r="Y18" s="123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8"/>
    </row>
    <row r="19" spans="1:55" s="3" customFormat="1" ht="16.5" customHeight="1">
      <c r="A19" s="133"/>
      <c r="B19" s="134"/>
      <c r="C19" s="134"/>
      <c r="D19" s="135"/>
      <c r="E19" s="123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33"/>
      <c r="V19" s="134"/>
      <c r="W19" s="134"/>
      <c r="X19" s="135"/>
      <c r="Y19" s="123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8"/>
    </row>
    <row r="20" spans="1:55" s="3" customFormat="1" ht="16.5" customHeight="1">
      <c r="A20" s="133"/>
      <c r="B20" s="134"/>
      <c r="C20" s="134"/>
      <c r="D20" s="135"/>
      <c r="E20" s="123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33"/>
      <c r="V20" s="134"/>
      <c r="W20" s="134"/>
      <c r="X20" s="135"/>
      <c r="Y20" s="123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8"/>
    </row>
    <row r="21" spans="1:55" s="3" customFormat="1" ht="16.5" customHeight="1">
      <c r="A21" s="136"/>
      <c r="B21" s="137"/>
      <c r="C21" s="137"/>
      <c r="D21" s="138"/>
      <c r="E21" s="125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36"/>
      <c r="V21" s="137"/>
      <c r="W21" s="137"/>
      <c r="X21" s="138"/>
      <c r="Y21" s="125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9"/>
    </row>
    <row r="22" spans="1:55" ht="16.5" customHeight="1">
      <c r="A22" s="8"/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</row>
    <row r="23" spans="1:55" s="3" customFormat="1" ht="20.25" customHeight="1">
      <c r="A23" s="197" t="s">
        <v>50</v>
      </c>
      <c r="B23" s="194" t="s">
        <v>48</v>
      </c>
      <c r="C23" s="195"/>
      <c r="D23" s="195"/>
      <c r="E23" s="195"/>
      <c r="F23" s="195"/>
      <c r="G23" s="195"/>
      <c r="H23" s="195"/>
      <c r="I23" s="195"/>
      <c r="J23" s="195"/>
      <c r="K23" s="195"/>
      <c r="L23" s="196"/>
      <c r="M23" s="64" t="s">
        <v>36</v>
      </c>
      <c r="N23" s="65"/>
      <c r="O23" s="65"/>
      <c r="P23" s="65"/>
      <c r="Q23" s="65"/>
      <c r="R23" s="66"/>
      <c r="S23" s="64" t="s">
        <v>37</v>
      </c>
      <c r="T23" s="65"/>
      <c r="U23" s="65"/>
      <c r="V23" s="65"/>
      <c r="W23" s="66"/>
      <c r="X23" s="64" t="s">
        <v>38</v>
      </c>
      <c r="Y23" s="65"/>
      <c r="Z23" s="65"/>
      <c r="AA23" s="66"/>
      <c r="AB23" s="64" t="s">
        <v>39</v>
      </c>
      <c r="AC23" s="65"/>
      <c r="AD23" s="65"/>
      <c r="AE23" s="66"/>
      <c r="AF23" s="72" t="s">
        <v>40</v>
      </c>
      <c r="AG23" s="228"/>
      <c r="AH23" s="72" t="s">
        <v>41</v>
      </c>
      <c r="AI23" s="227"/>
      <c r="AJ23" s="227"/>
      <c r="AK23" s="228"/>
      <c r="AL23" s="64" t="s">
        <v>42</v>
      </c>
      <c r="AM23" s="65"/>
      <c r="AN23" s="65"/>
      <c r="AO23" s="65"/>
      <c r="AP23" s="65"/>
      <c r="AQ23" s="65"/>
      <c r="AR23" s="65"/>
      <c r="AS23" s="65"/>
      <c r="AT23" s="66"/>
      <c r="AU23" s="64" t="s">
        <v>43</v>
      </c>
      <c r="AV23" s="65"/>
      <c r="AW23" s="65"/>
      <c r="AX23" s="65"/>
      <c r="AY23" s="65"/>
      <c r="AZ23" s="65"/>
      <c r="BA23" s="66"/>
      <c r="BB23" s="72" t="s">
        <v>44</v>
      </c>
      <c r="BC23" s="228"/>
    </row>
    <row r="24" spans="1:55" s="3" customFormat="1" ht="20.25" customHeight="1">
      <c r="A24" s="198"/>
      <c r="B24" s="67" t="s">
        <v>45</v>
      </c>
      <c r="C24" s="68"/>
      <c r="D24" s="68"/>
      <c r="E24" s="68"/>
      <c r="F24" s="73" t="s">
        <v>46</v>
      </c>
      <c r="G24" s="73"/>
      <c r="H24" s="73"/>
      <c r="I24" s="73"/>
      <c r="J24" s="73"/>
      <c r="K24" s="73"/>
      <c r="L24" s="74"/>
      <c r="M24" s="67"/>
      <c r="N24" s="68"/>
      <c r="O24" s="68"/>
      <c r="P24" s="68"/>
      <c r="Q24" s="68"/>
      <c r="R24" s="69"/>
      <c r="S24" s="67"/>
      <c r="T24" s="68"/>
      <c r="U24" s="68"/>
      <c r="V24" s="68"/>
      <c r="W24" s="69"/>
      <c r="X24" s="67"/>
      <c r="Y24" s="68"/>
      <c r="Z24" s="68"/>
      <c r="AA24" s="69"/>
      <c r="AB24" s="67"/>
      <c r="AC24" s="68"/>
      <c r="AD24" s="68"/>
      <c r="AE24" s="69"/>
      <c r="AF24" s="229"/>
      <c r="AG24" s="231"/>
      <c r="AH24" s="229"/>
      <c r="AI24" s="230"/>
      <c r="AJ24" s="230"/>
      <c r="AK24" s="231"/>
      <c r="AL24" s="67"/>
      <c r="AM24" s="68"/>
      <c r="AN24" s="68"/>
      <c r="AO24" s="68"/>
      <c r="AP24" s="68"/>
      <c r="AQ24" s="68"/>
      <c r="AR24" s="68"/>
      <c r="AS24" s="68"/>
      <c r="AT24" s="69"/>
      <c r="AU24" s="67"/>
      <c r="AV24" s="68"/>
      <c r="AW24" s="68"/>
      <c r="AX24" s="68"/>
      <c r="AY24" s="68"/>
      <c r="AZ24" s="68"/>
      <c r="BA24" s="69"/>
      <c r="BB24" s="229"/>
      <c r="BC24" s="231"/>
    </row>
    <row r="25" spans="1:55">
      <c r="A25" s="143" t="s">
        <v>217</v>
      </c>
      <c r="B25" s="49" t="s">
        <v>111</v>
      </c>
      <c r="C25" s="50"/>
      <c r="D25" s="50"/>
      <c r="E25" s="50"/>
      <c r="F25" s="50"/>
      <c r="G25" s="50"/>
      <c r="H25" s="50"/>
      <c r="I25" s="50"/>
      <c r="J25" s="50"/>
      <c r="K25" s="50"/>
      <c r="L25" s="51"/>
      <c r="M25" s="106" t="s">
        <v>57</v>
      </c>
      <c r="N25" s="107"/>
      <c r="O25" s="107"/>
      <c r="P25" s="107"/>
      <c r="Q25" s="107"/>
      <c r="R25" s="108"/>
      <c r="S25" s="106" t="s">
        <v>101</v>
      </c>
      <c r="T25" s="107"/>
      <c r="U25" s="107"/>
      <c r="V25" s="107"/>
      <c r="W25" s="108"/>
      <c r="X25" s="106" t="s">
        <v>102</v>
      </c>
      <c r="Y25" s="107"/>
      <c r="Z25" s="107"/>
      <c r="AA25" s="108"/>
      <c r="AB25" s="112" t="s">
        <v>103</v>
      </c>
      <c r="AC25" s="205"/>
      <c r="AD25" s="205"/>
      <c r="AE25" s="113"/>
      <c r="AF25" s="112" t="s">
        <v>104</v>
      </c>
      <c r="AG25" s="113"/>
      <c r="AH25" s="139"/>
      <c r="AI25" s="140"/>
      <c r="AJ25" s="140"/>
      <c r="AK25" s="141"/>
      <c r="AL25" s="106" t="s">
        <v>49</v>
      </c>
      <c r="AM25" s="107"/>
      <c r="AN25" s="107"/>
      <c r="AO25" s="107"/>
      <c r="AP25" s="107"/>
      <c r="AQ25" s="107"/>
      <c r="AR25" s="107"/>
      <c r="AS25" s="107"/>
      <c r="AT25" s="108"/>
      <c r="AU25" s="37">
        <v>33512</v>
      </c>
      <c r="AV25" s="38"/>
      <c r="AW25" s="38"/>
      <c r="AX25" s="166" t="s">
        <v>105</v>
      </c>
      <c r="AY25" s="38">
        <v>33664</v>
      </c>
      <c r="AZ25" s="38"/>
      <c r="BA25" s="116"/>
      <c r="BB25" s="168">
        <f>IF(AU25="","",(DATEDIF(AU25,AY25,"m")+1))</f>
        <v>6</v>
      </c>
      <c r="BC25" s="169"/>
    </row>
    <row r="26" spans="1:55" ht="20.25" customHeight="1">
      <c r="A26" s="144"/>
      <c r="B26" s="118" t="s">
        <v>88</v>
      </c>
      <c r="C26" s="119"/>
      <c r="D26" s="119"/>
      <c r="E26" s="119"/>
      <c r="F26" s="236" t="s">
        <v>58</v>
      </c>
      <c r="G26" s="236"/>
      <c r="H26" s="236"/>
      <c r="I26" s="236"/>
      <c r="J26" s="236"/>
      <c r="K26" s="236"/>
      <c r="L26" s="237"/>
      <c r="M26" s="109"/>
      <c r="N26" s="110"/>
      <c r="O26" s="110"/>
      <c r="P26" s="110"/>
      <c r="Q26" s="110"/>
      <c r="R26" s="111"/>
      <c r="S26" s="109"/>
      <c r="T26" s="110"/>
      <c r="U26" s="110"/>
      <c r="V26" s="110"/>
      <c r="W26" s="111"/>
      <c r="X26" s="109"/>
      <c r="Y26" s="110"/>
      <c r="Z26" s="110"/>
      <c r="AA26" s="111"/>
      <c r="AB26" s="114"/>
      <c r="AC26" s="206"/>
      <c r="AD26" s="206"/>
      <c r="AE26" s="115"/>
      <c r="AF26" s="114"/>
      <c r="AG26" s="115"/>
      <c r="AH26" s="142"/>
      <c r="AI26" s="23"/>
      <c r="AJ26" s="23"/>
      <c r="AK26" s="24"/>
      <c r="AL26" s="109"/>
      <c r="AM26" s="110"/>
      <c r="AN26" s="110"/>
      <c r="AO26" s="110"/>
      <c r="AP26" s="110"/>
      <c r="AQ26" s="110"/>
      <c r="AR26" s="110"/>
      <c r="AS26" s="110"/>
      <c r="AT26" s="111"/>
      <c r="AU26" s="39"/>
      <c r="AV26" s="40"/>
      <c r="AW26" s="40"/>
      <c r="AX26" s="167"/>
      <c r="AY26" s="40"/>
      <c r="AZ26" s="40"/>
      <c r="BA26" s="117"/>
      <c r="BB26" s="170"/>
      <c r="BC26" s="171"/>
    </row>
    <row r="27" spans="1:55" ht="19.5" customHeight="1">
      <c r="A27" s="25" t="s">
        <v>218</v>
      </c>
      <c r="B27" s="215" t="s">
        <v>168</v>
      </c>
      <c r="C27" s="216"/>
      <c r="D27" s="216"/>
      <c r="E27" s="216"/>
      <c r="F27" s="216"/>
      <c r="G27" s="216"/>
      <c r="H27" s="216"/>
      <c r="I27" s="216"/>
      <c r="J27" s="216"/>
      <c r="K27" s="216"/>
      <c r="L27" s="217"/>
      <c r="M27" s="106" t="s">
        <v>59</v>
      </c>
      <c r="N27" s="107"/>
      <c r="O27" s="107"/>
      <c r="P27" s="107"/>
      <c r="Q27" s="107"/>
      <c r="R27" s="108"/>
      <c r="S27" s="213" t="s">
        <v>106</v>
      </c>
      <c r="T27" s="214"/>
      <c r="U27" s="214"/>
      <c r="V27" s="214"/>
      <c r="W27" s="214"/>
      <c r="X27" s="29" t="s">
        <v>107</v>
      </c>
      <c r="Y27" s="30"/>
      <c r="Z27" s="30"/>
      <c r="AA27" s="30"/>
      <c r="AB27" s="112" t="s">
        <v>108</v>
      </c>
      <c r="AC27" s="205"/>
      <c r="AD27" s="205"/>
      <c r="AE27" s="113"/>
      <c r="AF27" s="112" t="s">
        <v>109</v>
      </c>
      <c r="AG27" s="113"/>
      <c r="AH27" s="30"/>
      <c r="AI27" s="30"/>
      <c r="AJ27" s="30"/>
      <c r="AK27" s="30"/>
      <c r="AL27" s="106" t="s">
        <v>53</v>
      </c>
      <c r="AM27" s="107"/>
      <c r="AN27" s="107"/>
      <c r="AO27" s="107"/>
      <c r="AP27" s="107"/>
      <c r="AQ27" s="107"/>
      <c r="AR27" s="107"/>
      <c r="AS27" s="107"/>
      <c r="AT27" s="108"/>
      <c r="AU27" s="43">
        <v>33695</v>
      </c>
      <c r="AV27" s="43"/>
      <c r="AW27" s="63"/>
      <c r="AX27" s="41" t="s">
        <v>110</v>
      </c>
      <c r="AY27" s="42">
        <v>33939</v>
      </c>
      <c r="AZ27" s="43"/>
      <c r="BA27" s="43"/>
      <c r="BB27" s="20">
        <f>IF(AU27="","",(DATEDIF(AU27,AY27,"m")+1))</f>
        <v>9</v>
      </c>
      <c r="BC27" s="20"/>
    </row>
    <row r="28" spans="1:55" ht="20.100000000000001" customHeight="1">
      <c r="A28" s="25"/>
      <c r="B28" s="118" t="s">
        <v>55</v>
      </c>
      <c r="C28" s="119"/>
      <c r="D28" s="119"/>
      <c r="E28" s="119"/>
      <c r="F28" s="218" t="s">
        <v>56</v>
      </c>
      <c r="G28" s="218"/>
      <c r="H28" s="218"/>
      <c r="I28" s="218"/>
      <c r="J28" s="218"/>
      <c r="K28" s="218"/>
      <c r="L28" s="219"/>
      <c r="M28" s="109"/>
      <c r="N28" s="110"/>
      <c r="O28" s="110"/>
      <c r="P28" s="110"/>
      <c r="Q28" s="110"/>
      <c r="R28" s="111"/>
      <c r="S28" s="214"/>
      <c r="T28" s="214"/>
      <c r="U28" s="214"/>
      <c r="V28" s="214"/>
      <c r="W28" s="214"/>
      <c r="X28" s="30"/>
      <c r="Y28" s="30"/>
      <c r="Z28" s="30"/>
      <c r="AA28" s="30"/>
      <c r="AB28" s="114"/>
      <c r="AC28" s="206"/>
      <c r="AD28" s="206"/>
      <c r="AE28" s="115"/>
      <c r="AF28" s="114"/>
      <c r="AG28" s="115"/>
      <c r="AH28" s="30"/>
      <c r="AI28" s="30"/>
      <c r="AJ28" s="30"/>
      <c r="AK28" s="30"/>
      <c r="AL28" s="109"/>
      <c r="AM28" s="110"/>
      <c r="AN28" s="110"/>
      <c r="AO28" s="110"/>
      <c r="AP28" s="110"/>
      <c r="AQ28" s="110"/>
      <c r="AR28" s="110"/>
      <c r="AS28" s="110"/>
      <c r="AT28" s="111"/>
      <c r="AU28" s="43"/>
      <c r="AV28" s="43"/>
      <c r="AW28" s="63"/>
      <c r="AX28" s="41"/>
      <c r="AY28" s="42"/>
      <c r="AZ28" s="43"/>
      <c r="BA28" s="43"/>
      <c r="BB28" s="20"/>
      <c r="BC28" s="20"/>
    </row>
    <row r="29" spans="1:55" ht="20.100000000000001" customHeight="1">
      <c r="A29" s="25" t="s">
        <v>169</v>
      </c>
      <c r="B29" s="49" t="s">
        <v>171</v>
      </c>
      <c r="C29" s="50"/>
      <c r="D29" s="50"/>
      <c r="E29" s="50"/>
      <c r="F29" s="50"/>
      <c r="G29" s="50"/>
      <c r="H29" s="50"/>
      <c r="I29" s="50"/>
      <c r="J29" s="50"/>
      <c r="K29" s="50"/>
      <c r="L29" s="51"/>
      <c r="M29" s="106" t="s">
        <v>60</v>
      </c>
      <c r="N29" s="107"/>
      <c r="O29" s="107"/>
      <c r="P29" s="107"/>
      <c r="Q29" s="107"/>
      <c r="R29" s="108"/>
      <c r="S29" s="30"/>
      <c r="T29" s="30"/>
      <c r="U29" s="30"/>
      <c r="V29" s="30"/>
      <c r="W29" s="30"/>
      <c r="X29" s="30" t="s">
        <v>102</v>
      </c>
      <c r="Y29" s="30"/>
      <c r="Z29" s="30"/>
      <c r="AA29" s="30"/>
      <c r="AB29" s="30" t="s">
        <v>51</v>
      </c>
      <c r="AC29" s="30"/>
      <c r="AD29" s="30"/>
      <c r="AE29" s="30"/>
      <c r="AF29" s="112" t="s">
        <v>47</v>
      </c>
      <c r="AG29" s="113"/>
      <c r="AH29" s="30"/>
      <c r="AI29" s="35"/>
      <c r="AJ29" s="35"/>
      <c r="AK29" s="35"/>
      <c r="AL29" s="106" t="s">
        <v>135</v>
      </c>
      <c r="AM29" s="107"/>
      <c r="AN29" s="107"/>
      <c r="AO29" s="107"/>
      <c r="AP29" s="107"/>
      <c r="AQ29" s="107"/>
      <c r="AR29" s="107"/>
      <c r="AS29" s="107"/>
      <c r="AT29" s="108"/>
      <c r="AU29" s="43">
        <v>33970</v>
      </c>
      <c r="AV29" s="43"/>
      <c r="AW29" s="63"/>
      <c r="AX29" s="41" t="s">
        <v>16</v>
      </c>
      <c r="AY29" s="38">
        <v>35034</v>
      </c>
      <c r="AZ29" s="38"/>
      <c r="BA29" s="116"/>
      <c r="BB29" s="20">
        <f>IF(AU29="","",(DATEDIF(AU29,AY29,"m")+1))</f>
        <v>36</v>
      </c>
      <c r="BC29" s="20"/>
    </row>
    <row r="30" spans="1:55" s="3" customFormat="1" ht="20.100000000000001" customHeight="1">
      <c r="A30" s="25"/>
      <c r="B30" s="118" t="s">
        <v>88</v>
      </c>
      <c r="C30" s="119"/>
      <c r="D30" s="119"/>
      <c r="E30" s="119"/>
      <c r="F30" s="23" t="s">
        <v>134</v>
      </c>
      <c r="G30" s="23"/>
      <c r="H30" s="23"/>
      <c r="I30" s="23"/>
      <c r="J30" s="23"/>
      <c r="K30" s="23"/>
      <c r="L30" s="24"/>
      <c r="M30" s="109"/>
      <c r="N30" s="110"/>
      <c r="O30" s="110"/>
      <c r="P30" s="110"/>
      <c r="Q30" s="110"/>
      <c r="R30" s="111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114"/>
      <c r="AG30" s="115"/>
      <c r="AH30" s="35"/>
      <c r="AI30" s="35"/>
      <c r="AJ30" s="35"/>
      <c r="AK30" s="35"/>
      <c r="AL30" s="109"/>
      <c r="AM30" s="110"/>
      <c r="AN30" s="110"/>
      <c r="AO30" s="110"/>
      <c r="AP30" s="110"/>
      <c r="AQ30" s="110"/>
      <c r="AR30" s="110"/>
      <c r="AS30" s="110"/>
      <c r="AT30" s="111"/>
      <c r="AU30" s="43"/>
      <c r="AV30" s="43"/>
      <c r="AW30" s="63"/>
      <c r="AX30" s="41"/>
      <c r="AY30" s="40"/>
      <c r="AZ30" s="40"/>
      <c r="BA30" s="117"/>
      <c r="BB30" s="20"/>
      <c r="BC30" s="20"/>
    </row>
    <row r="31" spans="1:55" ht="20.25" customHeight="1">
      <c r="A31" s="25" t="s">
        <v>170</v>
      </c>
      <c r="B31" s="49" t="s">
        <v>138</v>
      </c>
      <c r="C31" s="50"/>
      <c r="D31" s="50"/>
      <c r="E31" s="50"/>
      <c r="F31" s="50"/>
      <c r="G31" s="50"/>
      <c r="H31" s="50"/>
      <c r="I31" s="50"/>
      <c r="J31" s="50"/>
      <c r="K31" s="50"/>
      <c r="L31" s="51"/>
      <c r="M31" s="106" t="s">
        <v>62</v>
      </c>
      <c r="N31" s="107"/>
      <c r="O31" s="107"/>
      <c r="P31" s="107"/>
      <c r="Q31" s="107"/>
      <c r="R31" s="108"/>
      <c r="S31" s="29"/>
      <c r="T31" s="30"/>
      <c r="U31" s="30"/>
      <c r="V31" s="30"/>
      <c r="W31" s="30"/>
      <c r="X31" s="213"/>
      <c r="Y31" s="214"/>
      <c r="Z31" s="214"/>
      <c r="AA31" s="214"/>
      <c r="AB31" s="112"/>
      <c r="AC31" s="205"/>
      <c r="AD31" s="205"/>
      <c r="AE31" s="113"/>
      <c r="AF31" s="112" t="s">
        <v>47</v>
      </c>
      <c r="AG31" s="113"/>
      <c r="AH31" s="20"/>
      <c r="AI31" s="20"/>
      <c r="AJ31" s="20"/>
      <c r="AK31" s="20"/>
      <c r="AL31" s="106" t="s">
        <v>61</v>
      </c>
      <c r="AM31" s="107"/>
      <c r="AN31" s="107"/>
      <c r="AO31" s="107"/>
      <c r="AP31" s="107"/>
      <c r="AQ31" s="107"/>
      <c r="AR31" s="107"/>
      <c r="AS31" s="107"/>
      <c r="AT31" s="108"/>
      <c r="AU31" s="43">
        <v>35065</v>
      </c>
      <c r="AV31" s="43"/>
      <c r="AW31" s="63"/>
      <c r="AX31" s="41" t="s">
        <v>16</v>
      </c>
      <c r="AY31" s="42">
        <v>35490</v>
      </c>
      <c r="AZ31" s="43"/>
      <c r="BA31" s="43"/>
      <c r="BB31" s="20">
        <f>IF(AU31="","",(DATEDIF(AU31,AY31,"m")+1))</f>
        <v>15</v>
      </c>
      <c r="BC31" s="20"/>
    </row>
    <row r="32" spans="1:55" ht="20.25" customHeight="1">
      <c r="A32" s="25"/>
      <c r="B32" s="118" t="s">
        <v>88</v>
      </c>
      <c r="C32" s="119"/>
      <c r="D32" s="119"/>
      <c r="E32" s="119"/>
      <c r="F32" s="23" t="s">
        <v>52</v>
      </c>
      <c r="G32" s="23"/>
      <c r="H32" s="23"/>
      <c r="I32" s="23"/>
      <c r="J32" s="23"/>
      <c r="K32" s="23"/>
      <c r="L32" s="24"/>
      <c r="M32" s="109"/>
      <c r="N32" s="110"/>
      <c r="O32" s="110"/>
      <c r="P32" s="110"/>
      <c r="Q32" s="110"/>
      <c r="R32" s="111"/>
      <c r="S32" s="30"/>
      <c r="T32" s="30"/>
      <c r="U32" s="30"/>
      <c r="V32" s="30"/>
      <c r="W32" s="30"/>
      <c r="X32" s="214"/>
      <c r="Y32" s="214"/>
      <c r="Z32" s="214"/>
      <c r="AA32" s="214"/>
      <c r="AB32" s="114"/>
      <c r="AC32" s="206"/>
      <c r="AD32" s="206"/>
      <c r="AE32" s="115"/>
      <c r="AF32" s="114"/>
      <c r="AG32" s="115"/>
      <c r="AH32" s="20"/>
      <c r="AI32" s="20"/>
      <c r="AJ32" s="20"/>
      <c r="AK32" s="20"/>
      <c r="AL32" s="109"/>
      <c r="AM32" s="110"/>
      <c r="AN32" s="110"/>
      <c r="AO32" s="110"/>
      <c r="AP32" s="110"/>
      <c r="AQ32" s="110"/>
      <c r="AR32" s="110"/>
      <c r="AS32" s="110"/>
      <c r="AT32" s="111"/>
      <c r="AU32" s="43"/>
      <c r="AV32" s="43"/>
      <c r="AW32" s="63"/>
      <c r="AX32" s="41"/>
      <c r="AY32" s="42"/>
      <c r="AZ32" s="43"/>
      <c r="BA32" s="43"/>
      <c r="BB32" s="20"/>
      <c r="BC32" s="20"/>
    </row>
    <row r="33" spans="1:55" ht="20.100000000000001" customHeight="1">
      <c r="A33" s="25" t="s">
        <v>172</v>
      </c>
      <c r="B33" s="49" t="s">
        <v>63</v>
      </c>
      <c r="C33" s="50"/>
      <c r="D33" s="50"/>
      <c r="E33" s="50"/>
      <c r="F33" s="50"/>
      <c r="G33" s="50"/>
      <c r="H33" s="50"/>
      <c r="I33" s="50"/>
      <c r="J33" s="50"/>
      <c r="K33" s="50"/>
      <c r="L33" s="51"/>
      <c r="M33" s="106" t="s">
        <v>206</v>
      </c>
      <c r="N33" s="107"/>
      <c r="O33" s="107"/>
      <c r="P33" s="107"/>
      <c r="Q33" s="107"/>
      <c r="R33" s="108"/>
      <c r="S33" s="29" t="s">
        <v>92</v>
      </c>
      <c r="T33" s="30"/>
      <c r="U33" s="30"/>
      <c r="V33" s="30"/>
      <c r="W33" s="30"/>
      <c r="X33" s="30" t="s">
        <v>93</v>
      </c>
      <c r="Y33" s="30"/>
      <c r="Z33" s="30"/>
      <c r="AA33" s="30"/>
      <c r="AB33" s="30" t="s">
        <v>51</v>
      </c>
      <c r="AC33" s="30"/>
      <c r="AD33" s="30"/>
      <c r="AE33" s="30"/>
      <c r="AF33" s="30" t="s">
        <v>47</v>
      </c>
      <c r="AG33" s="35"/>
      <c r="AH33" s="30" t="s">
        <v>64</v>
      </c>
      <c r="AI33" s="35"/>
      <c r="AJ33" s="35"/>
      <c r="AK33" s="35"/>
      <c r="AL33" s="106" t="s">
        <v>54</v>
      </c>
      <c r="AM33" s="107"/>
      <c r="AN33" s="107"/>
      <c r="AO33" s="107"/>
      <c r="AP33" s="107"/>
      <c r="AQ33" s="107"/>
      <c r="AR33" s="107"/>
      <c r="AS33" s="107"/>
      <c r="AT33" s="108"/>
      <c r="AU33" s="43">
        <v>35521</v>
      </c>
      <c r="AV33" s="43"/>
      <c r="AW33" s="63"/>
      <c r="AX33" s="41" t="s">
        <v>16</v>
      </c>
      <c r="AY33" s="42">
        <v>38291</v>
      </c>
      <c r="AZ33" s="43"/>
      <c r="BA33" s="43"/>
      <c r="BB33" s="20">
        <f>IF(AU33="","",(DATEDIF(AU33,AY33,"m")+1))</f>
        <v>91</v>
      </c>
      <c r="BC33" s="20"/>
    </row>
    <row r="34" spans="1:55" ht="20.25" customHeight="1">
      <c r="A34" s="25"/>
      <c r="B34" s="21" t="s">
        <v>65</v>
      </c>
      <c r="C34" s="22"/>
      <c r="D34" s="22"/>
      <c r="E34" s="22"/>
      <c r="F34" s="23" t="s">
        <v>89</v>
      </c>
      <c r="G34" s="23"/>
      <c r="H34" s="23"/>
      <c r="I34" s="23"/>
      <c r="J34" s="23"/>
      <c r="K34" s="23"/>
      <c r="L34" s="24"/>
      <c r="M34" s="109"/>
      <c r="N34" s="110"/>
      <c r="O34" s="110"/>
      <c r="P34" s="110"/>
      <c r="Q34" s="110"/>
      <c r="R34" s="11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5"/>
      <c r="AG34" s="35"/>
      <c r="AH34" s="35"/>
      <c r="AI34" s="35"/>
      <c r="AJ34" s="35"/>
      <c r="AK34" s="35"/>
      <c r="AL34" s="109"/>
      <c r="AM34" s="110"/>
      <c r="AN34" s="110"/>
      <c r="AO34" s="110"/>
      <c r="AP34" s="110"/>
      <c r="AQ34" s="110"/>
      <c r="AR34" s="110"/>
      <c r="AS34" s="110"/>
      <c r="AT34" s="111"/>
      <c r="AU34" s="43"/>
      <c r="AV34" s="43"/>
      <c r="AW34" s="63"/>
      <c r="AX34" s="41"/>
      <c r="AY34" s="42"/>
      <c r="AZ34" s="43"/>
      <c r="BA34" s="43"/>
      <c r="BB34" s="20"/>
      <c r="BC34" s="20"/>
    </row>
    <row r="35" spans="1:55">
      <c r="AJ35" s="2"/>
      <c r="AK35" s="2"/>
      <c r="AM35" s="2"/>
      <c r="AN35" s="2"/>
      <c r="AP35" s="2"/>
      <c r="AQ35" s="2"/>
      <c r="AT35" s="10"/>
      <c r="AU35" s="61">
        <f>AU$1</f>
        <v>46174</v>
      </c>
      <c r="AV35" s="61"/>
      <c r="AW35" s="61"/>
      <c r="AX35" s="61"/>
      <c r="AY35" s="61"/>
      <c r="AZ35" s="61"/>
      <c r="BA35" s="61"/>
      <c r="BB35" s="10" t="s">
        <v>19</v>
      </c>
      <c r="BC35" s="10" t="s">
        <v>20</v>
      </c>
    </row>
    <row r="36" spans="1:55" ht="20.25" customHeight="1">
      <c r="A36" s="75" t="s">
        <v>94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</row>
    <row r="37" spans="1:55" ht="20.2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</row>
    <row r="38" spans="1:55" ht="20.25" customHeight="1">
      <c r="A38" s="78" t="s">
        <v>95</v>
      </c>
      <c r="B38" s="79"/>
      <c r="C38" s="79"/>
      <c r="D38" s="80"/>
      <c r="E38" s="226">
        <f>E$4</f>
        <v>0</v>
      </c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2"/>
      <c r="U38" s="83" t="s">
        <v>67</v>
      </c>
      <c r="V38" s="84"/>
      <c r="W38" s="85"/>
      <c r="X38" s="103" t="str">
        <f>X$4</f>
        <v>男</v>
      </c>
      <c r="Y38" s="104"/>
      <c r="Z38" s="83" t="s">
        <v>69</v>
      </c>
      <c r="AA38" s="84"/>
      <c r="AB38" s="84"/>
      <c r="AC38" s="85"/>
      <c r="AD38" s="211">
        <f>AD$4</f>
        <v>25851</v>
      </c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83" t="s">
        <v>96</v>
      </c>
      <c r="AP38" s="85"/>
      <c r="AQ38" s="103">
        <f>AQ$4</f>
        <v>55</v>
      </c>
      <c r="AR38" s="120"/>
      <c r="AS38" s="147" t="s">
        <v>97</v>
      </c>
      <c r="AT38" s="97" t="s">
        <v>98</v>
      </c>
      <c r="AU38" s="98"/>
      <c r="AV38" s="99"/>
      <c r="AW38" s="207">
        <f>AW$4</f>
        <v>34</v>
      </c>
      <c r="AX38" s="208"/>
      <c r="AY38" s="120" t="s">
        <v>35</v>
      </c>
      <c r="AZ38" s="145">
        <f>AZ$4</f>
        <v>9</v>
      </c>
      <c r="BA38" s="145"/>
      <c r="BB38" s="146" t="s">
        <v>99</v>
      </c>
      <c r="BC38" s="147"/>
    </row>
    <row r="39" spans="1:55" ht="20.25" customHeight="1">
      <c r="A39" s="220" t="s">
        <v>70</v>
      </c>
      <c r="B39" s="221"/>
      <c r="C39" s="221"/>
      <c r="D39" s="222"/>
      <c r="E39" s="223" t="str">
        <f>E$5</f>
        <v>Ｙ・Ｋ</v>
      </c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5"/>
      <c r="U39" s="86"/>
      <c r="V39" s="87"/>
      <c r="W39" s="88"/>
      <c r="X39" s="105"/>
      <c r="Y39" s="92"/>
      <c r="Z39" s="86"/>
      <c r="AA39" s="87"/>
      <c r="AB39" s="87"/>
      <c r="AC39" s="88"/>
      <c r="AD39" s="212"/>
      <c r="AE39" s="95"/>
      <c r="AF39" s="95"/>
      <c r="AG39" s="95"/>
      <c r="AH39" s="95"/>
      <c r="AI39" s="95"/>
      <c r="AJ39" s="95"/>
      <c r="AK39" s="95"/>
      <c r="AL39" s="95"/>
      <c r="AM39" s="95"/>
      <c r="AN39" s="96"/>
      <c r="AO39" s="86"/>
      <c r="AP39" s="88"/>
      <c r="AQ39" s="105"/>
      <c r="AR39" s="91"/>
      <c r="AS39" s="148"/>
      <c r="AT39" s="100"/>
      <c r="AU39" s="101"/>
      <c r="AV39" s="102"/>
      <c r="AW39" s="209"/>
      <c r="AX39" s="210"/>
      <c r="AY39" s="91"/>
      <c r="AZ39" s="241"/>
      <c r="BA39" s="241"/>
      <c r="BB39" s="60"/>
      <c r="BC39" s="148"/>
    </row>
    <row r="40" spans="1:55" ht="20.25" customHeight="1"/>
    <row r="41" spans="1:55" ht="20.25" customHeight="1">
      <c r="A41" s="197" t="s">
        <v>100</v>
      </c>
      <c r="B41" s="194" t="s">
        <v>48</v>
      </c>
      <c r="C41" s="195"/>
      <c r="D41" s="195"/>
      <c r="E41" s="195"/>
      <c r="F41" s="195"/>
      <c r="G41" s="195"/>
      <c r="H41" s="195"/>
      <c r="I41" s="195"/>
      <c r="J41" s="195"/>
      <c r="K41" s="195"/>
      <c r="L41" s="196"/>
      <c r="M41" s="64" t="s">
        <v>36</v>
      </c>
      <c r="N41" s="65"/>
      <c r="O41" s="65"/>
      <c r="P41" s="65"/>
      <c r="Q41" s="65"/>
      <c r="R41" s="66"/>
      <c r="S41" s="64" t="s">
        <v>37</v>
      </c>
      <c r="T41" s="65"/>
      <c r="U41" s="65"/>
      <c r="V41" s="65"/>
      <c r="W41" s="66"/>
      <c r="X41" s="71" t="s">
        <v>38</v>
      </c>
      <c r="Y41" s="71"/>
      <c r="Z41" s="71"/>
      <c r="AA41" s="71"/>
      <c r="AB41" s="71" t="s">
        <v>39</v>
      </c>
      <c r="AC41" s="71"/>
      <c r="AD41" s="71"/>
      <c r="AE41" s="71"/>
      <c r="AF41" s="70" t="s">
        <v>40</v>
      </c>
      <c r="AG41" s="70"/>
      <c r="AH41" s="70" t="s">
        <v>41</v>
      </c>
      <c r="AI41" s="70"/>
      <c r="AJ41" s="70"/>
      <c r="AK41" s="70"/>
      <c r="AL41" s="71" t="s">
        <v>42</v>
      </c>
      <c r="AM41" s="71"/>
      <c r="AN41" s="71"/>
      <c r="AO41" s="71"/>
      <c r="AP41" s="71"/>
      <c r="AQ41" s="71"/>
      <c r="AR41" s="71"/>
      <c r="AS41" s="71"/>
      <c r="AT41" s="71"/>
      <c r="AU41" s="64" t="s">
        <v>43</v>
      </c>
      <c r="AV41" s="65"/>
      <c r="AW41" s="65"/>
      <c r="AX41" s="65"/>
      <c r="AY41" s="65"/>
      <c r="AZ41" s="65"/>
      <c r="BA41" s="66"/>
      <c r="BB41" s="72" t="s">
        <v>44</v>
      </c>
      <c r="BC41" s="66"/>
    </row>
    <row r="42" spans="1:55" ht="20.25" customHeight="1">
      <c r="A42" s="198"/>
      <c r="B42" s="67" t="s">
        <v>45</v>
      </c>
      <c r="C42" s="68"/>
      <c r="D42" s="68"/>
      <c r="E42" s="68"/>
      <c r="F42" s="73" t="s">
        <v>46</v>
      </c>
      <c r="G42" s="73"/>
      <c r="H42" s="73"/>
      <c r="I42" s="73"/>
      <c r="J42" s="73"/>
      <c r="K42" s="73"/>
      <c r="L42" s="74"/>
      <c r="M42" s="67"/>
      <c r="N42" s="68"/>
      <c r="O42" s="68"/>
      <c r="P42" s="68"/>
      <c r="Q42" s="68"/>
      <c r="R42" s="69"/>
      <c r="S42" s="67"/>
      <c r="T42" s="68"/>
      <c r="U42" s="68"/>
      <c r="V42" s="68"/>
      <c r="W42" s="69"/>
      <c r="X42" s="71"/>
      <c r="Y42" s="71"/>
      <c r="Z42" s="71"/>
      <c r="AA42" s="71"/>
      <c r="AB42" s="71"/>
      <c r="AC42" s="71"/>
      <c r="AD42" s="71"/>
      <c r="AE42" s="71"/>
      <c r="AF42" s="70"/>
      <c r="AG42" s="70"/>
      <c r="AH42" s="70"/>
      <c r="AI42" s="70"/>
      <c r="AJ42" s="70"/>
      <c r="AK42" s="70"/>
      <c r="AL42" s="71"/>
      <c r="AM42" s="71"/>
      <c r="AN42" s="71"/>
      <c r="AO42" s="71"/>
      <c r="AP42" s="71"/>
      <c r="AQ42" s="71"/>
      <c r="AR42" s="71"/>
      <c r="AS42" s="71"/>
      <c r="AT42" s="71"/>
      <c r="AU42" s="67"/>
      <c r="AV42" s="68"/>
      <c r="AW42" s="68"/>
      <c r="AX42" s="68"/>
      <c r="AY42" s="68"/>
      <c r="AZ42" s="68"/>
      <c r="BA42" s="69"/>
      <c r="BB42" s="67"/>
      <c r="BC42" s="69"/>
    </row>
    <row r="43" spans="1:55" ht="20.25" customHeight="1">
      <c r="A43" s="25" t="s">
        <v>173</v>
      </c>
      <c r="B43" s="49" t="s">
        <v>63</v>
      </c>
      <c r="C43" s="50"/>
      <c r="D43" s="50"/>
      <c r="E43" s="50"/>
      <c r="F43" s="50"/>
      <c r="G43" s="50"/>
      <c r="H43" s="50"/>
      <c r="I43" s="50"/>
      <c r="J43" s="50"/>
      <c r="K43" s="50"/>
      <c r="L43" s="51"/>
      <c r="M43" s="106" t="s">
        <v>207</v>
      </c>
      <c r="N43" s="107"/>
      <c r="O43" s="107"/>
      <c r="P43" s="107"/>
      <c r="Q43" s="107"/>
      <c r="R43" s="108"/>
      <c r="S43" s="29" t="s">
        <v>90</v>
      </c>
      <c r="T43" s="30"/>
      <c r="U43" s="30"/>
      <c r="V43" s="30"/>
      <c r="W43" s="30"/>
      <c r="X43" s="29" t="s">
        <v>91</v>
      </c>
      <c r="Y43" s="30"/>
      <c r="Z43" s="30"/>
      <c r="AA43" s="30"/>
      <c r="AB43" s="30" t="s">
        <v>51</v>
      </c>
      <c r="AC43" s="30"/>
      <c r="AD43" s="30"/>
      <c r="AE43" s="30"/>
      <c r="AF43" s="30" t="s">
        <v>47</v>
      </c>
      <c r="AG43" s="35"/>
      <c r="AH43" s="30" t="s">
        <v>64</v>
      </c>
      <c r="AI43" s="35"/>
      <c r="AJ43" s="35"/>
      <c r="AK43" s="35"/>
      <c r="AL43" s="106" t="s">
        <v>54</v>
      </c>
      <c r="AM43" s="107"/>
      <c r="AN43" s="107"/>
      <c r="AO43" s="107"/>
      <c r="AP43" s="107"/>
      <c r="AQ43" s="107"/>
      <c r="AR43" s="107"/>
      <c r="AS43" s="107"/>
      <c r="AT43" s="108"/>
      <c r="AU43" s="37">
        <v>38292</v>
      </c>
      <c r="AV43" s="38"/>
      <c r="AW43" s="38"/>
      <c r="AX43" s="166" t="s">
        <v>16</v>
      </c>
      <c r="AY43" s="42">
        <v>42035</v>
      </c>
      <c r="AZ43" s="43"/>
      <c r="BA43" s="43"/>
      <c r="BB43" s="168">
        <f>IF(AU43="","",(DATEDIF(AU43,AY43,"m")+1))</f>
        <v>123</v>
      </c>
      <c r="BC43" s="169"/>
    </row>
    <row r="44" spans="1:55" ht="20.25" customHeight="1">
      <c r="A44" s="25"/>
      <c r="B44" s="21" t="s">
        <v>65</v>
      </c>
      <c r="C44" s="22"/>
      <c r="D44" s="22"/>
      <c r="E44" s="22"/>
      <c r="F44" s="23" t="s">
        <v>71</v>
      </c>
      <c r="G44" s="23"/>
      <c r="H44" s="23"/>
      <c r="I44" s="23"/>
      <c r="J44" s="23"/>
      <c r="K44" s="23"/>
      <c r="L44" s="24"/>
      <c r="M44" s="109"/>
      <c r="N44" s="110"/>
      <c r="O44" s="110"/>
      <c r="P44" s="110"/>
      <c r="Q44" s="110"/>
      <c r="R44" s="111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5"/>
      <c r="AG44" s="35"/>
      <c r="AH44" s="35"/>
      <c r="AI44" s="35"/>
      <c r="AJ44" s="35"/>
      <c r="AK44" s="35"/>
      <c r="AL44" s="109"/>
      <c r="AM44" s="110"/>
      <c r="AN44" s="110"/>
      <c r="AO44" s="110"/>
      <c r="AP44" s="110"/>
      <c r="AQ44" s="110"/>
      <c r="AR44" s="110"/>
      <c r="AS44" s="110"/>
      <c r="AT44" s="111"/>
      <c r="AU44" s="39"/>
      <c r="AV44" s="40"/>
      <c r="AW44" s="40"/>
      <c r="AX44" s="167"/>
      <c r="AY44" s="42"/>
      <c r="AZ44" s="43"/>
      <c r="BA44" s="43"/>
      <c r="BB44" s="170"/>
      <c r="BC44" s="171"/>
    </row>
    <row r="45" spans="1:55" ht="20.100000000000001" customHeight="1">
      <c r="A45" s="25" t="s">
        <v>174</v>
      </c>
      <c r="B45" s="49" t="s">
        <v>177</v>
      </c>
      <c r="C45" s="50"/>
      <c r="D45" s="50"/>
      <c r="E45" s="50"/>
      <c r="F45" s="50"/>
      <c r="G45" s="50"/>
      <c r="H45" s="50"/>
      <c r="I45" s="50"/>
      <c r="J45" s="50"/>
      <c r="K45" s="50"/>
      <c r="L45" s="51"/>
      <c r="M45" s="106" t="s">
        <v>208</v>
      </c>
      <c r="N45" s="107"/>
      <c r="O45" s="107"/>
      <c r="P45" s="107"/>
      <c r="Q45" s="107"/>
      <c r="R45" s="108"/>
      <c r="S45" s="179"/>
      <c r="T45" s="180"/>
      <c r="U45" s="180"/>
      <c r="V45" s="180"/>
      <c r="W45" s="180"/>
      <c r="X45" s="180" t="s">
        <v>178</v>
      </c>
      <c r="Y45" s="180"/>
      <c r="Z45" s="180"/>
      <c r="AA45" s="180"/>
      <c r="AB45" s="179" t="s">
        <v>179</v>
      </c>
      <c r="AC45" s="180"/>
      <c r="AD45" s="180"/>
      <c r="AE45" s="180"/>
      <c r="AF45" s="30" t="s">
        <v>47</v>
      </c>
      <c r="AG45" s="35"/>
      <c r="AH45" s="180"/>
      <c r="AI45" s="181"/>
      <c r="AJ45" s="181"/>
      <c r="AK45" s="181"/>
      <c r="AL45" s="106" t="s">
        <v>180</v>
      </c>
      <c r="AM45" s="107"/>
      <c r="AN45" s="107"/>
      <c r="AO45" s="107"/>
      <c r="AP45" s="107"/>
      <c r="AQ45" s="107"/>
      <c r="AR45" s="107"/>
      <c r="AS45" s="107"/>
      <c r="AT45" s="108"/>
      <c r="AU45" s="151">
        <v>42036</v>
      </c>
      <c r="AV45" s="151"/>
      <c r="AW45" s="182"/>
      <c r="AX45" s="149" t="s">
        <v>16</v>
      </c>
      <c r="AY45" s="150">
        <v>42094</v>
      </c>
      <c r="AZ45" s="151"/>
      <c r="BA45" s="151"/>
      <c r="BB45" s="152">
        <f>IF(AU45="","",(DATEDIF(AU45,AY45,"m")+1))</f>
        <v>2</v>
      </c>
      <c r="BC45" s="152"/>
    </row>
    <row r="46" spans="1:55" ht="20.100000000000001" customHeight="1">
      <c r="A46" s="25"/>
      <c r="B46" s="21" t="s">
        <v>75</v>
      </c>
      <c r="C46" s="22"/>
      <c r="D46" s="22"/>
      <c r="E46" s="22"/>
      <c r="F46" s="23" t="s">
        <v>181</v>
      </c>
      <c r="G46" s="23"/>
      <c r="H46" s="23"/>
      <c r="I46" s="23"/>
      <c r="J46" s="23"/>
      <c r="K46" s="23"/>
      <c r="L46" s="24"/>
      <c r="M46" s="109"/>
      <c r="N46" s="110"/>
      <c r="O46" s="110"/>
      <c r="P46" s="110"/>
      <c r="Q46" s="110"/>
      <c r="R46" s="111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35"/>
      <c r="AG46" s="35"/>
      <c r="AH46" s="181"/>
      <c r="AI46" s="181"/>
      <c r="AJ46" s="181"/>
      <c r="AK46" s="181"/>
      <c r="AL46" s="109"/>
      <c r="AM46" s="110"/>
      <c r="AN46" s="110"/>
      <c r="AO46" s="110"/>
      <c r="AP46" s="110"/>
      <c r="AQ46" s="110"/>
      <c r="AR46" s="110"/>
      <c r="AS46" s="110"/>
      <c r="AT46" s="111"/>
      <c r="AU46" s="151"/>
      <c r="AV46" s="151"/>
      <c r="AW46" s="182"/>
      <c r="AX46" s="149"/>
      <c r="AY46" s="150"/>
      <c r="AZ46" s="151"/>
      <c r="BA46" s="151"/>
      <c r="BB46" s="152"/>
      <c r="BC46" s="152"/>
    </row>
    <row r="47" spans="1:55" ht="26.1" customHeight="1">
      <c r="A47" s="143" t="s">
        <v>175</v>
      </c>
      <c r="B47" s="26" t="s">
        <v>74</v>
      </c>
      <c r="C47" s="27"/>
      <c r="D47" s="27"/>
      <c r="E47" s="27"/>
      <c r="F47" s="27"/>
      <c r="G47" s="27"/>
      <c r="H47" s="27"/>
      <c r="I47" s="27"/>
      <c r="J47" s="27"/>
      <c r="K47" s="27"/>
      <c r="L47" s="28"/>
      <c r="M47" s="106" t="s">
        <v>139</v>
      </c>
      <c r="N47" s="107"/>
      <c r="O47" s="107"/>
      <c r="P47" s="107"/>
      <c r="Q47" s="107"/>
      <c r="R47" s="108"/>
      <c r="S47" s="153"/>
      <c r="T47" s="154"/>
      <c r="U47" s="154"/>
      <c r="V47" s="154"/>
      <c r="W47" s="155"/>
      <c r="X47" s="139" t="s">
        <v>86</v>
      </c>
      <c r="Y47" s="140"/>
      <c r="Z47" s="140"/>
      <c r="AA47" s="141"/>
      <c r="AB47" s="153" t="s">
        <v>113</v>
      </c>
      <c r="AC47" s="154"/>
      <c r="AD47" s="154"/>
      <c r="AE47" s="155"/>
      <c r="AF47" s="159" t="s">
        <v>47</v>
      </c>
      <c r="AG47" s="160"/>
      <c r="AH47" s="139"/>
      <c r="AI47" s="140"/>
      <c r="AJ47" s="140"/>
      <c r="AK47" s="141"/>
      <c r="AL47" s="106" t="s">
        <v>118</v>
      </c>
      <c r="AM47" s="107"/>
      <c r="AN47" s="107"/>
      <c r="AO47" s="107"/>
      <c r="AP47" s="107"/>
      <c r="AQ47" s="107"/>
      <c r="AR47" s="107"/>
      <c r="AS47" s="107"/>
      <c r="AT47" s="108"/>
      <c r="AU47" s="162">
        <v>42095</v>
      </c>
      <c r="AV47" s="163"/>
      <c r="AW47" s="163"/>
      <c r="AX47" s="172" t="s">
        <v>16</v>
      </c>
      <c r="AY47" s="150">
        <v>42185</v>
      </c>
      <c r="AZ47" s="151"/>
      <c r="BA47" s="151"/>
      <c r="BB47" s="174">
        <f>IF(AU47="","",(DATEDIF(AU47,AY47,"m")+1))</f>
        <v>3</v>
      </c>
      <c r="BC47" s="175"/>
    </row>
    <row r="48" spans="1:55" ht="20.25" customHeight="1">
      <c r="A48" s="144"/>
      <c r="B48" s="44" t="s">
        <v>76</v>
      </c>
      <c r="C48" s="45"/>
      <c r="D48" s="45"/>
      <c r="E48" s="45"/>
      <c r="F48" s="46" t="s">
        <v>87</v>
      </c>
      <c r="G48" s="46"/>
      <c r="H48" s="46"/>
      <c r="I48" s="46"/>
      <c r="J48" s="46"/>
      <c r="K48" s="46"/>
      <c r="L48" s="178"/>
      <c r="M48" s="109"/>
      <c r="N48" s="110"/>
      <c r="O48" s="110"/>
      <c r="P48" s="110"/>
      <c r="Q48" s="110"/>
      <c r="R48" s="111"/>
      <c r="S48" s="156"/>
      <c r="T48" s="157"/>
      <c r="U48" s="157"/>
      <c r="V48" s="157"/>
      <c r="W48" s="158"/>
      <c r="X48" s="142"/>
      <c r="Y48" s="23"/>
      <c r="Z48" s="23"/>
      <c r="AA48" s="24"/>
      <c r="AB48" s="156"/>
      <c r="AC48" s="157"/>
      <c r="AD48" s="157"/>
      <c r="AE48" s="158"/>
      <c r="AF48" s="161"/>
      <c r="AG48" s="48"/>
      <c r="AH48" s="142"/>
      <c r="AI48" s="23"/>
      <c r="AJ48" s="23"/>
      <c r="AK48" s="24"/>
      <c r="AL48" s="109"/>
      <c r="AM48" s="110"/>
      <c r="AN48" s="110"/>
      <c r="AO48" s="110"/>
      <c r="AP48" s="110"/>
      <c r="AQ48" s="110"/>
      <c r="AR48" s="110"/>
      <c r="AS48" s="110"/>
      <c r="AT48" s="111"/>
      <c r="AU48" s="164"/>
      <c r="AV48" s="165"/>
      <c r="AW48" s="165"/>
      <c r="AX48" s="173"/>
      <c r="AY48" s="150"/>
      <c r="AZ48" s="151"/>
      <c r="BA48" s="151"/>
      <c r="BB48" s="176"/>
      <c r="BC48" s="177"/>
    </row>
    <row r="49" spans="1:248" ht="21.75" customHeight="1">
      <c r="A49" s="25" t="s">
        <v>176</v>
      </c>
      <c r="B49" s="183" t="s">
        <v>73</v>
      </c>
      <c r="C49" s="184"/>
      <c r="D49" s="184"/>
      <c r="E49" s="184"/>
      <c r="F49" s="184"/>
      <c r="G49" s="184"/>
      <c r="H49" s="184"/>
      <c r="I49" s="184"/>
      <c r="J49" s="184"/>
      <c r="K49" s="184"/>
      <c r="L49" s="185"/>
      <c r="M49" s="53" t="s">
        <v>140</v>
      </c>
      <c r="N49" s="54"/>
      <c r="O49" s="54"/>
      <c r="P49" s="54"/>
      <c r="Q49" s="54"/>
      <c r="R49" s="55"/>
      <c r="S49" s="31" t="s">
        <v>77</v>
      </c>
      <c r="T49" s="32"/>
      <c r="U49" s="32"/>
      <c r="V49" s="32"/>
      <c r="W49" s="32"/>
      <c r="X49" s="153" t="s">
        <v>78</v>
      </c>
      <c r="Y49" s="186"/>
      <c r="Z49" s="186"/>
      <c r="AA49" s="187"/>
      <c r="AB49" s="31" t="s">
        <v>51</v>
      </c>
      <c r="AC49" s="32"/>
      <c r="AD49" s="32"/>
      <c r="AE49" s="32"/>
      <c r="AF49" s="33" t="s">
        <v>47</v>
      </c>
      <c r="AG49" s="34"/>
      <c r="AH49" s="32"/>
      <c r="AI49" s="52"/>
      <c r="AJ49" s="52"/>
      <c r="AK49" s="52"/>
      <c r="AL49" s="53" t="s">
        <v>137</v>
      </c>
      <c r="AM49" s="54"/>
      <c r="AN49" s="54"/>
      <c r="AO49" s="54"/>
      <c r="AP49" s="54"/>
      <c r="AQ49" s="54"/>
      <c r="AR49" s="54"/>
      <c r="AS49" s="54"/>
      <c r="AT49" s="55"/>
      <c r="AU49" s="199">
        <v>42186</v>
      </c>
      <c r="AV49" s="199"/>
      <c r="AW49" s="200"/>
      <c r="AX49" s="172" t="s">
        <v>16</v>
      </c>
      <c r="AY49" s="150">
        <v>42277</v>
      </c>
      <c r="AZ49" s="151"/>
      <c r="BA49" s="151"/>
      <c r="BB49" s="174">
        <f>IF(AU49="","",(DATEDIF(AU49,AY49,"m")+1))</f>
        <v>3</v>
      </c>
      <c r="BC49" s="175"/>
    </row>
    <row r="50" spans="1:248" ht="21.75" customHeight="1">
      <c r="A50" s="25"/>
      <c r="B50" s="21" t="s">
        <v>75</v>
      </c>
      <c r="C50" s="22"/>
      <c r="D50" s="22"/>
      <c r="E50" s="22"/>
      <c r="F50" s="46" t="s">
        <v>136</v>
      </c>
      <c r="G50" s="47"/>
      <c r="H50" s="47"/>
      <c r="I50" s="47"/>
      <c r="J50" s="47"/>
      <c r="K50" s="47"/>
      <c r="L50" s="48"/>
      <c r="M50" s="56"/>
      <c r="N50" s="46"/>
      <c r="O50" s="46"/>
      <c r="P50" s="46"/>
      <c r="Q50" s="46"/>
      <c r="R50" s="58"/>
      <c r="S50" s="32"/>
      <c r="T50" s="32"/>
      <c r="U50" s="32"/>
      <c r="V50" s="32"/>
      <c r="W50" s="32"/>
      <c r="X50" s="188"/>
      <c r="Y50" s="189"/>
      <c r="Z50" s="189"/>
      <c r="AA50" s="190"/>
      <c r="AB50" s="32"/>
      <c r="AC50" s="32"/>
      <c r="AD50" s="32"/>
      <c r="AE50" s="32"/>
      <c r="AF50" s="34"/>
      <c r="AG50" s="34"/>
      <c r="AH50" s="52"/>
      <c r="AI50" s="52"/>
      <c r="AJ50" s="52"/>
      <c r="AK50" s="52"/>
      <c r="AL50" s="56"/>
      <c r="AM50" s="57"/>
      <c r="AN50" s="57"/>
      <c r="AO50" s="57"/>
      <c r="AP50" s="57"/>
      <c r="AQ50" s="57"/>
      <c r="AR50" s="57"/>
      <c r="AS50" s="57"/>
      <c r="AT50" s="58"/>
      <c r="AU50" s="199"/>
      <c r="AV50" s="199"/>
      <c r="AW50" s="200"/>
      <c r="AX50" s="173"/>
      <c r="AY50" s="150"/>
      <c r="AZ50" s="151"/>
      <c r="BA50" s="151"/>
      <c r="BB50" s="176"/>
      <c r="BC50" s="177"/>
    </row>
    <row r="51" spans="1:248" ht="23.45" customHeight="1">
      <c r="A51" s="25" t="s">
        <v>167</v>
      </c>
      <c r="B51" s="49" t="s">
        <v>63</v>
      </c>
      <c r="C51" s="50"/>
      <c r="D51" s="50"/>
      <c r="E51" s="50"/>
      <c r="F51" s="50"/>
      <c r="G51" s="50"/>
      <c r="H51" s="50"/>
      <c r="I51" s="50"/>
      <c r="J51" s="50"/>
      <c r="K51" s="50"/>
      <c r="L51" s="51"/>
      <c r="M51" s="29" t="s">
        <v>215</v>
      </c>
      <c r="N51" s="29"/>
      <c r="O51" s="29"/>
      <c r="P51" s="29"/>
      <c r="Q51" s="29"/>
      <c r="R51" s="29"/>
      <c r="S51" s="30" t="s">
        <v>82</v>
      </c>
      <c r="T51" s="30"/>
      <c r="U51" s="30"/>
      <c r="V51" s="30"/>
      <c r="W51" s="30"/>
      <c r="X51" s="29" t="s">
        <v>81</v>
      </c>
      <c r="Y51" s="30"/>
      <c r="Z51" s="30"/>
      <c r="AA51" s="30"/>
      <c r="AB51" s="29" t="s">
        <v>112</v>
      </c>
      <c r="AC51" s="30"/>
      <c r="AD51" s="30"/>
      <c r="AE51" s="30"/>
      <c r="AF51" s="30" t="s">
        <v>83</v>
      </c>
      <c r="AG51" s="35"/>
      <c r="AH51" s="30" t="s">
        <v>85</v>
      </c>
      <c r="AI51" s="35"/>
      <c r="AJ51" s="35"/>
      <c r="AK51" s="35"/>
      <c r="AL51" s="29" t="s">
        <v>84</v>
      </c>
      <c r="AM51" s="35"/>
      <c r="AN51" s="35"/>
      <c r="AO51" s="35"/>
      <c r="AP51" s="35"/>
      <c r="AQ51" s="35"/>
      <c r="AR51" s="35"/>
      <c r="AS51" s="35"/>
      <c r="AT51" s="35"/>
      <c r="AU51" s="43">
        <v>42278</v>
      </c>
      <c r="AV51" s="43"/>
      <c r="AW51" s="63"/>
      <c r="AX51" s="166" t="s">
        <v>16</v>
      </c>
      <c r="AY51" s="38">
        <v>42551</v>
      </c>
      <c r="AZ51" s="38"/>
      <c r="BA51" s="116"/>
      <c r="BB51" s="168">
        <f>IF(AU51="","",(DATEDIF(AU51,AY51,"m")+1))</f>
        <v>9</v>
      </c>
      <c r="BC51" s="169"/>
    </row>
    <row r="52" spans="1:248" ht="19.5" customHeight="1">
      <c r="A52" s="25"/>
      <c r="B52" s="21" t="s">
        <v>65</v>
      </c>
      <c r="C52" s="22"/>
      <c r="D52" s="22"/>
      <c r="E52" s="22"/>
      <c r="F52" s="23" t="s">
        <v>80</v>
      </c>
      <c r="G52" s="23"/>
      <c r="H52" s="23"/>
      <c r="I52" s="23"/>
      <c r="J52" s="23"/>
      <c r="K52" s="23"/>
      <c r="L52" s="24"/>
      <c r="M52" s="29"/>
      <c r="N52" s="29"/>
      <c r="O52" s="29"/>
      <c r="P52" s="29"/>
      <c r="Q52" s="29"/>
      <c r="R52" s="29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43"/>
      <c r="AV52" s="43"/>
      <c r="AW52" s="63"/>
      <c r="AX52" s="167"/>
      <c r="AY52" s="40"/>
      <c r="AZ52" s="40"/>
      <c r="BA52" s="117"/>
      <c r="BB52" s="170"/>
      <c r="BC52" s="171"/>
    </row>
    <row r="53" spans="1:248" ht="21.6" customHeight="1">
      <c r="A53" s="25" t="s">
        <v>126</v>
      </c>
      <c r="B53" s="49" t="s">
        <v>193</v>
      </c>
      <c r="C53" s="50"/>
      <c r="D53" s="50"/>
      <c r="E53" s="50"/>
      <c r="F53" s="50"/>
      <c r="G53" s="50"/>
      <c r="H53" s="50"/>
      <c r="I53" s="50"/>
      <c r="J53" s="50"/>
      <c r="K53" s="50"/>
      <c r="L53" s="51"/>
      <c r="M53" s="29" t="s">
        <v>182</v>
      </c>
      <c r="N53" s="29"/>
      <c r="O53" s="29"/>
      <c r="P53" s="29"/>
      <c r="Q53" s="29"/>
      <c r="R53" s="29"/>
      <c r="S53" s="30"/>
      <c r="T53" s="30"/>
      <c r="U53" s="30"/>
      <c r="V53" s="30"/>
      <c r="W53" s="30"/>
      <c r="X53" s="29" t="s">
        <v>183</v>
      </c>
      <c r="Y53" s="30"/>
      <c r="Z53" s="30"/>
      <c r="AA53" s="30"/>
      <c r="AB53" s="31" t="s">
        <v>184</v>
      </c>
      <c r="AC53" s="32"/>
      <c r="AD53" s="32"/>
      <c r="AE53" s="32"/>
      <c r="AF53" s="33" t="s">
        <v>47</v>
      </c>
      <c r="AG53" s="34"/>
      <c r="AH53" s="30" t="s">
        <v>85</v>
      </c>
      <c r="AI53" s="35"/>
      <c r="AJ53" s="35"/>
      <c r="AK53" s="35"/>
      <c r="AL53" s="201" t="s">
        <v>185</v>
      </c>
      <c r="AM53" s="202"/>
      <c r="AN53" s="202"/>
      <c r="AO53" s="202"/>
      <c r="AP53" s="202"/>
      <c r="AQ53" s="202"/>
      <c r="AR53" s="202"/>
      <c r="AS53" s="202"/>
      <c r="AT53" s="203"/>
      <c r="AU53" s="43">
        <v>42563</v>
      </c>
      <c r="AV53" s="43"/>
      <c r="AW53" s="63"/>
      <c r="AX53" s="41" t="s">
        <v>16</v>
      </c>
      <c r="AY53" s="42">
        <v>42643</v>
      </c>
      <c r="AZ53" s="43"/>
      <c r="BA53" s="43"/>
      <c r="BB53" s="20">
        <f>IF(AU53="","",(DATEDIF(AU53,AY53,"m")+1))</f>
        <v>3</v>
      </c>
      <c r="BC53" s="20"/>
    </row>
    <row r="54" spans="1:248" ht="23.1" customHeight="1">
      <c r="A54" s="25"/>
      <c r="B54" s="21" t="s">
        <v>186</v>
      </c>
      <c r="C54" s="22"/>
      <c r="D54" s="22"/>
      <c r="E54" s="22"/>
      <c r="F54" s="23" t="s">
        <v>187</v>
      </c>
      <c r="G54" s="23"/>
      <c r="H54" s="23"/>
      <c r="I54" s="23"/>
      <c r="J54" s="23"/>
      <c r="K54" s="23"/>
      <c r="L54" s="24"/>
      <c r="M54" s="29"/>
      <c r="N54" s="29"/>
      <c r="O54" s="29"/>
      <c r="P54" s="29"/>
      <c r="Q54" s="29"/>
      <c r="R54" s="29"/>
      <c r="S54" s="30"/>
      <c r="T54" s="30"/>
      <c r="U54" s="30"/>
      <c r="V54" s="30"/>
      <c r="W54" s="30"/>
      <c r="X54" s="30"/>
      <c r="Y54" s="30"/>
      <c r="Z54" s="30"/>
      <c r="AA54" s="30"/>
      <c r="AB54" s="32"/>
      <c r="AC54" s="32"/>
      <c r="AD54" s="32"/>
      <c r="AE54" s="32"/>
      <c r="AF54" s="34"/>
      <c r="AG54" s="34"/>
      <c r="AH54" s="35"/>
      <c r="AI54" s="35"/>
      <c r="AJ54" s="35"/>
      <c r="AK54" s="35"/>
      <c r="AL54" s="204"/>
      <c r="AM54" s="46"/>
      <c r="AN54" s="46"/>
      <c r="AO54" s="46"/>
      <c r="AP54" s="46"/>
      <c r="AQ54" s="46"/>
      <c r="AR54" s="46"/>
      <c r="AS54" s="46"/>
      <c r="AT54" s="178"/>
      <c r="AU54" s="43"/>
      <c r="AV54" s="43"/>
      <c r="AW54" s="63"/>
      <c r="AX54" s="41"/>
      <c r="AY54" s="42"/>
      <c r="AZ54" s="43"/>
      <c r="BA54" s="43"/>
      <c r="BB54" s="20"/>
      <c r="BC54" s="20"/>
    </row>
    <row r="55" spans="1:248" ht="15.75" customHeight="1">
      <c r="A55" s="25" t="s">
        <v>127</v>
      </c>
      <c r="B55" s="26" t="s">
        <v>194</v>
      </c>
      <c r="C55" s="27"/>
      <c r="D55" s="27"/>
      <c r="E55" s="27"/>
      <c r="F55" s="27"/>
      <c r="G55" s="27"/>
      <c r="H55" s="27"/>
      <c r="I55" s="27"/>
      <c r="J55" s="27"/>
      <c r="K55" s="27"/>
      <c r="L55" s="28"/>
      <c r="M55" s="29" t="s">
        <v>188</v>
      </c>
      <c r="N55" s="29"/>
      <c r="O55" s="29"/>
      <c r="P55" s="29"/>
      <c r="Q55" s="29"/>
      <c r="R55" s="29"/>
      <c r="S55" s="30" t="s">
        <v>189</v>
      </c>
      <c r="T55" s="30"/>
      <c r="U55" s="30"/>
      <c r="V55" s="30"/>
      <c r="W55" s="30"/>
      <c r="X55" s="30" t="s">
        <v>86</v>
      </c>
      <c r="Y55" s="30"/>
      <c r="Z55" s="30"/>
      <c r="AA55" s="30"/>
      <c r="AB55" s="31" t="s">
        <v>113</v>
      </c>
      <c r="AC55" s="32"/>
      <c r="AD55" s="32"/>
      <c r="AE55" s="32"/>
      <c r="AF55" s="33" t="s">
        <v>47</v>
      </c>
      <c r="AG55" s="34"/>
      <c r="AH55" s="30"/>
      <c r="AI55" s="35"/>
      <c r="AJ55" s="35"/>
      <c r="AK55" s="35"/>
      <c r="AL55" s="29" t="s">
        <v>118</v>
      </c>
      <c r="AM55" s="36"/>
      <c r="AN55" s="36"/>
      <c r="AO55" s="36"/>
      <c r="AP55" s="36"/>
      <c r="AQ55" s="36"/>
      <c r="AR55" s="36"/>
      <c r="AS55" s="36"/>
      <c r="AT55" s="36"/>
      <c r="AU55" s="43">
        <v>42644</v>
      </c>
      <c r="AV55" s="43"/>
      <c r="AW55" s="63"/>
      <c r="AX55" s="41" t="s">
        <v>16</v>
      </c>
      <c r="AY55" s="42">
        <v>42916</v>
      </c>
      <c r="AZ55" s="43"/>
      <c r="BA55" s="43"/>
      <c r="BB55" s="20">
        <f>IF(AU55="","",(DATEDIF(AU55,AY55,"m")+1))</f>
        <v>9</v>
      </c>
      <c r="BC55" s="20"/>
    </row>
    <row r="56" spans="1:248" ht="29.25" customHeight="1">
      <c r="A56" s="25"/>
      <c r="B56" s="44" t="s">
        <v>76</v>
      </c>
      <c r="C56" s="45"/>
      <c r="D56" s="45"/>
      <c r="E56" s="45"/>
      <c r="F56" s="46" t="s">
        <v>87</v>
      </c>
      <c r="G56" s="47"/>
      <c r="H56" s="47"/>
      <c r="I56" s="47"/>
      <c r="J56" s="47"/>
      <c r="K56" s="47"/>
      <c r="L56" s="48"/>
      <c r="M56" s="29"/>
      <c r="N56" s="29"/>
      <c r="O56" s="29"/>
      <c r="P56" s="29"/>
      <c r="Q56" s="29"/>
      <c r="R56" s="29"/>
      <c r="S56" s="30"/>
      <c r="T56" s="30"/>
      <c r="U56" s="30"/>
      <c r="V56" s="30"/>
      <c r="W56" s="30"/>
      <c r="X56" s="30"/>
      <c r="Y56" s="30"/>
      <c r="Z56" s="30"/>
      <c r="AA56" s="30"/>
      <c r="AB56" s="32"/>
      <c r="AC56" s="32"/>
      <c r="AD56" s="32"/>
      <c r="AE56" s="32"/>
      <c r="AF56" s="34"/>
      <c r="AG56" s="34"/>
      <c r="AH56" s="35"/>
      <c r="AI56" s="35"/>
      <c r="AJ56" s="35"/>
      <c r="AK56" s="35"/>
      <c r="AL56" s="36"/>
      <c r="AM56" s="36"/>
      <c r="AN56" s="36"/>
      <c r="AO56" s="36"/>
      <c r="AP56" s="36"/>
      <c r="AQ56" s="36"/>
      <c r="AR56" s="36"/>
      <c r="AS56" s="36"/>
      <c r="AT56" s="36"/>
      <c r="AU56" s="43"/>
      <c r="AV56" s="43"/>
      <c r="AW56" s="63"/>
      <c r="AX56" s="41"/>
      <c r="AY56" s="42"/>
      <c r="AZ56" s="43"/>
      <c r="BA56" s="43"/>
      <c r="BB56" s="20"/>
      <c r="BC56" s="20"/>
    </row>
    <row r="57" spans="1:248" ht="18.75" customHeight="1">
      <c r="A57" s="25" t="s">
        <v>128</v>
      </c>
      <c r="B57" s="26" t="s">
        <v>195</v>
      </c>
      <c r="C57" s="27"/>
      <c r="D57" s="27"/>
      <c r="E57" s="27"/>
      <c r="F57" s="27"/>
      <c r="G57" s="27"/>
      <c r="H57" s="27"/>
      <c r="I57" s="27"/>
      <c r="J57" s="27"/>
      <c r="K57" s="27"/>
      <c r="L57" s="28"/>
      <c r="M57" s="29" t="s">
        <v>117</v>
      </c>
      <c r="N57" s="29"/>
      <c r="O57" s="29"/>
      <c r="P57" s="29"/>
      <c r="Q57" s="29"/>
      <c r="R57" s="29"/>
      <c r="S57" s="30" t="s">
        <v>122</v>
      </c>
      <c r="T57" s="30"/>
      <c r="U57" s="30"/>
      <c r="V57" s="30"/>
      <c r="W57" s="30"/>
      <c r="X57" s="29" t="s">
        <v>116</v>
      </c>
      <c r="Y57" s="29"/>
      <c r="Z57" s="29"/>
      <c r="AA57" s="29"/>
      <c r="AB57" s="31" t="s">
        <v>115</v>
      </c>
      <c r="AC57" s="32"/>
      <c r="AD57" s="32"/>
      <c r="AE57" s="32"/>
      <c r="AF57" s="33" t="s">
        <v>47</v>
      </c>
      <c r="AG57" s="34"/>
      <c r="AH57" s="30" t="s">
        <v>121</v>
      </c>
      <c r="AI57" s="35"/>
      <c r="AJ57" s="35"/>
      <c r="AK57" s="35"/>
      <c r="AL57" s="29" t="s">
        <v>119</v>
      </c>
      <c r="AM57" s="36"/>
      <c r="AN57" s="36"/>
      <c r="AO57" s="36"/>
      <c r="AP57" s="36"/>
      <c r="AQ57" s="36"/>
      <c r="AR57" s="36"/>
      <c r="AS57" s="36"/>
      <c r="AT57" s="36"/>
      <c r="AU57" s="37">
        <v>42917</v>
      </c>
      <c r="AV57" s="38"/>
      <c r="AW57" s="38"/>
      <c r="AX57" s="166" t="s">
        <v>16</v>
      </c>
      <c r="AY57" s="38">
        <v>43190</v>
      </c>
      <c r="AZ57" s="38"/>
      <c r="BA57" s="116"/>
      <c r="BB57" s="168">
        <f>IF(AU57="","",(DATEDIF(AU57,AY57,"m")+1))</f>
        <v>9</v>
      </c>
      <c r="BC57" s="169"/>
    </row>
    <row r="58" spans="1:248" ht="22.5" customHeight="1">
      <c r="A58" s="25"/>
      <c r="B58" s="44" t="s">
        <v>76</v>
      </c>
      <c r="C58" s="45"/>
      <c r="D58" s="45"/>
      <c r="E58" s="45"/>
      <c r="F58" s="46" t="s">
        <v>120</v>
      </c>
      <c r="G58" s="47"/>
      <c r="H58" s="47"/>
      <c r="I58" s="47"/>
      <c r="J58" s="47"/>
      <c r="K58" s="47"/>
      <c r="L58" s="48"/>
      <c r="M58" s="29"/>
      <c r="N58" s="29"/>
      <c r="O58" s="29"/>
      <c r="P58" s="29"/>
      <c r="Q58" s="29"/>
      <c r="R58" s="29"/>
      <c r="S58" s="30"/>
      <c r="T58" s="30"/>
      <c r="U58" s="30"/>
      <c r="V58" s="30"/>
      <c r="W58" s="30"/>
      <c r="X58" s="29"/>
      <c r="Y58" s="29"/>
      <c r="Z58" s="29"/>
      <c r="AA58" s="29"/>
      <c r="AB58" s="32"/>
      <c r="AC58" s="32"/>
      <c r="AD58" s="32"/>
      <c r="AE58" s="32"/>
      <c r="AF58" s="34"/>
      <c r="AG58" s="34"/>
      <c r="AH58" s="35"/>
      <c r="AI58" s="35"/>
      <c r="AJ58" s="35"/>
      <c r="AK58" s="35"/>
      <c r="AL58" s="36"/>
      <c r="AM58" s="36"/>
      <c r="AN58" s="36"/>
      <c r="AO58" s="36"/>
      <c r="AP58" s="36"/>
      <c r="AQ58" s="36"/>
      <c r="AR58" s="36"/>
      <c r="AS58" s="36"/>
      <c r="AT58" s="36"/>
      <c r="AU58" s="39"/>
      <c r="AV58" s="40"/>
      <c r="AW58" s="40"/>
      <c r="AX58" s="167"/>
      <c r="AY58" s="40"/>
      <c r="AZ58" s="40"/>
      <c r="BA58" s="117"/>
      <c r="BB58" s="170"/>
      <c r="BC58" s="171"/>
    </row>
    <row r="59" spans="1:248" ht="23.1" customHeight="1">
      <c r="A59" s="25" t="s">
        <v>129</v>
      </c>
      <c r="B59" s="49" t="s">
        <v>124</v>
      </c>
      <c r="C59" s="50"/>
      <c r="D59" s="50"/>
      <c r="E59" s="50"/>
      <c r="F59" s="50"/>
      <c r="G59" s="50"/>
      <c r="H59" s="50"/>
      <c r="I59" s="50"/>
      <c r="J59" s="50"/>
      <c r="K59" s="50"/>
      <c r="L59" s="51"/>
      <c r="M59" s="29" t="s">
        <v>214</v>
      </c>
      <c r="N59" s="29"/>
      <c r="O59" s="29"/>
      <c r="P59" s="29"/>
      <c r="Q59" s="29"/>
      <c r="R59" s="29"/>
      <c r="S59" s="30" t="s">
        <v>141</v>
      </c>
      <c r="T59" s="30"/>
      <c r="U59" s="30"/>
      <c r="V59" s="30"/>
      <c r="W59" s="30"/>
      <c r="X59" s="29" t="s">
        <v>125</v>
      </c>
      <c r="Y59" s="30"/>
      <c r="Z59" s="30"/>
      <c r="AA59" s="30"/>
      <c r="AB59" s="31" t="s">
        <v>113</v>
      </c>
      <c r="AC59" s="32"/>
      <c r="AD59" s="32"/>
      <c r="AE59" s="32"/>
      <c r="AF59" s="33" t="s">
        <v>47</v>
      </c>
      <c r="AG59" s="34"/>
      <c r="AH59" s="30"/>
      <c r="AI59" s="35"/>
      <c r="AJ59" s="35"/>
      <c r="AK59" s="35"/>
      <c r="AL59" s="29" t="s">
        <v>142</v>
      </c>
      <c r="AM59" s="36"/>
      <c r="AN59" s="36"/>
      <c r="AO59" s="36"/>
      <c r="AP59" s="36"/>
      <c r="AQ59" s="36"/>
      <c r="AR59" s="36"/>
      <c r="AS59" s="36"/>
      <c r="AT59" s="36"/>
      <c r="AU59" s="37">
        <v>43191</v>
      </c>
      <c r="AV59" s="38"/>
      <c r="AW59" s="38"/>
      <c r="AX59" s="166" t="s">
        <v>16</v>
      </c>
      <c r="AY59" s="38">
        <v>44073</v>
      </c>
      <c r="AZ59" s="38"/>
      <c r="BA59" s="116"/>
      <c r="BB59" s="168">
        <f>IF(AU59="","",(DATEDIF(AU59,AY59,"m")+1))</f>
        <v>29</v>
      </c>
      <c r="BC59" s="169"/>
    </row>
    <row r="60" spans="1:248" ht="23.1" customHeight="1">
      <c r="A60" s="25"/>
      <c r="B60" s="21" t="s">
        <v>65</v>
      </c>
      <c r="C60" s="22"/>
      <c r="D60" s="22"/>
      <c r="E60" s="22"/>
      <c r="F60" s="23" t="s">
        <v>123</v>
      </c>
      <c r="G60" s="23"/>
      <c r="H60" s="23"/>
      <c r="I60" s="23"/>
      <c r="J60" s="23"/>
      <c r="K60" s="23"/>
      <c r="L60" s="24"/>
      <c r="M60" s="29"/>
      <c r="N60" s="29"/>
      <c r="O60" s="29"/>
      <c r="P60" s="29"/>
      <c r="Q60" s="29"/>
      <c r="R60" s="29"/>
      <c r="S60" s="30"/>
      <c r="T60" s="30"/>
      <c r="U60" s="30"/>
      <c r="V60" s="30"/>
      <c r="W60" s="30"/>
      <c r="X60" s="30"/>
      <c r="Y60" s="30"/>
      <c r="Z60" s="30"/>
      <c r="AA60" s="30"/>
      <c r="AB60" s="32"/>
      <c r="AC60" s="32"/>
      <c r="AD60" s="32"/>
      <c r="AE60" s="32"/>
      <c r="AF60" s="34"/>
      <c r="AG60" s="34"/>
      <c r="AH60" s="35"/>
      <c r="AI60" s="35"/>
      <c r="AJ60" s="35"/>
      <c r="AK60" s="35"/>
      <c r="AL60" s="36"/>
      <c r="AM60" s="36"/>
      <c r="AN60" s="36"/>
      <c r="AO60" s="36"/>
      <c r="AP60" s="36"/>
      <c r="AQ60" s="36"/>
      <c r="AR60" s="36"/>
      <c r="AS60" s="36"/>
      <c r="AT60" s="36"/>
      <c r="AU60" s="39"/>
      <c r="AV60" s="40"/>
      <c r="AW60" s="40"/>
      <c r="AX60" s="167"/>
      <c r="AY60" s="40"/>
      <c r="AZ60" s="40"/>
      <c r="BA60" s="117"/>
      <c r="BB60" s="170"/>
      <c r="BC60" s="171"/>
    </row>
    <row r="61" spans="1:248" ht="23.1" customHeight="1">
      <c r="A61" s="25" t="s">
        <v>130</v>
      </c>
      <c r="B61" s="49" t="s">
        <v>124</v>
      </c>
      <c r="C61" s="50"/>
      <c r="D61" s="50"/>
      <c r="E61" s="50"/>
      <c r="F61" s="50"/>
      <c r="G61" s="50"/>
      <c r="H61" s="50"/>
      <c r="I61" s="50"/>
      <c r="J61" s="50"/>
      <c r="K61" s="50"/>
      <c r="L61" s="51"/>
      <c r="M61" s="29" t="s">
        <v>213</v>
      </c>
      <c r="N61" s="29"/>
      <c r="O61" s="29"/>
      <c r="P61" s="29"/>
      <c r="Q61" s="29"/>
      <c r="R61" s="29"/>
      <c r="S61" s="30" t="s">
        <v>143</v>
      </c>
      <c r="T61" s="30"/>
      <c r="U61" s="30"/>
      <c r="V61" s="30"/>
      <c r="W61" s="30"/>
      <c r="X61" s="29" t="s">
        <v>125</v>
      </c>
      <c r="Y61" s="30"/>
      <c r="Z61" s="30"/>
      <c r="AA61" s="30"/>
      <c r="AB61" s="31" t="s">
        <v>113</v>
      </c>
      <c r="AC61" s="32"/>
      <c r="AD61" s="32"/>
      <c r="AE61" s="32"/>
      <c r="AF61" s="33" t="s">
        <v>47</v>
      </c>
      <c r="AG61" s="34"/>
      <c r="AH61" s="30" t="s">
        <v>64</v>
      </c>
      <c r="AI61" s="35"/>
      <c r="AJ61" s="35"/>
      <c r="AK61" s="35"/>
      <c r="AL61" s="29" t="s">
        <v>145</v>
      </c>
      <c r="AM61" s="36"/>
      <c r="AN61" s="36"/>
      <c r="AO61" s="36"/>
      <c r="AP61" s="36"/>
      <c r="AQ61" s="36"/>
      <c r="AR61" s="36"/>
      <c r="AS61" s="36"/>
      <c r="AT61" s="36"/>
      <c r="AU61" s="37">
        <v>44075</v>
      </c>
      <c r="AV61" s="38"/>
      <c r="AW61" s="38"/>
      <c r="AX61" s="166" t="s">
        <v>16</v>
      </c>
      <c r="AY61" s="38">
        <v>44561</v>
      </c>
      <c r="AZ61" s="38"/>
      <c r="BA61" s="116"/>
      <c r="BB61" s="168">
        <f>IF(AU61="","",(DATEDIF(AU61,AY61,"m")+1))</f>
        <v>16</v>
      </c>
      <c r="BC61" s="169"/>
    </row>
    <row r="62" spans="1:248" ht="23.1" customHeight="1">
      <c r="A62" s="25"/>
      <c r="B62" s="21" t="s">
        <v>65</v>
      </c>
      <c r="C62" s="22"/>
      <c r="D62" s="22"/>
      <c r="E62" s="22"/>
      <c r="F62" s="23" t="s">
        <v>144</v>
      </c>
      <c r="G62" s="23"/>
      <c r="H62" s="23"/>
      <c r="I62" s="23"/>
      <c r="J62" s="23"/>
      <c r="K62" s="23"/>
      <c r="L62" s="24"/>
      <c r="M62" s="29"/>
      <c r="N62" s="29"/>
      <c r="O62" s="29"/>
      <c r="P62" s="29"/>
      <c r="Q62" s="29"/>
      <c r="R62" s="29"/>
      <c r="S62" s="30"/>
      <c r="T62" s="30"/>
      <c r="U62" s="30"/>
      <c r="V62" s="30"/>
      <c r="W62" s="30"/>
      <c r="X62" s="30"/>
      <c r="Y62" s="30"/>
      <c r="Z62" s="30"/>
      <c r="AA62" s="30"/>
      <c r="AB62" s="32"/>
      <c r="AC62" s="32"/>
      <c r="AD62" s="32"/>
      <c r="AE62" s="32"/>
      <c r="AF62" s="34"/>
      <c r="AG62" s="34"/>
      <c r="AH62" s="35"/>
      <c r="AI62" s="35"/>
      <c r="AJ62" s="35"/>
      <c r="AK62" s="35"/>
      <c r="AL62" s="36"/>
      <c r="AM62" s="36"/>
      <c r="AN62" s="36"/>
      <c r="AO62" s="36"/>
      <c r="AP62" s="36"/>
      <c r="AQ62" s="36"/>
      <c r="AR62" s="36"/>
      <c r="AS62" s="36"/>
      <c r="AT62" s="36"/>
      <c r="AU62" s="39"/>
      <c r="AV62" s="40"/>
      <c r="AW62" s="40"/>
      <c r="AX62" s="167"/>
      <c r="AY62" s="40"/>
      <c r="AZ62" s="40"/>
      <c r="BA62" s="117"/>
      <c r="BB62" s="170"/>
      <c r="BC62" s="171"/>
    </row>
    <row r="63" spans="1:248">
      <c r="A63" s="11"/>
      <c r="B63" s="16"/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12"/>
      <c r="N63" s="12"/>
      <c r="O63" s="12"/>
      <c r="P63" s="12"/>
      <c r="Q63" s="12"/>
      <c r="R63" s="12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8"/>
      <c r="AG63" s="18"/>
      <c r="AH63" s="18"/>
      <c r="AI63" s="18"/>
      <c r="AJ63" s="18"/>
      <c r="AK63" s="18"/>
      <c r="AL63" s="12"/>
      <c r="AM63" s="12"/>
      <c r="AN63" s="12"/>
      <c r="AO63" s="12"/>
      <c r="AP63" s="12"/>
      <c r="AQ63" s="12"/>
      <c r="AR63" s="12"/>
      <c r="AS63" s="12"/>
      <c r="AT63" s="12"/>
      <c r="AU63" s="13"/>
      <c r="AV63" s="13"/>
      <c r="AW63" s="13"/>
      <c r="AX63" s="14"/>
      <c r="AY63" s="13"/>
      <c r="AZ63" s="13"/>
      <c r="BA63" s="13"/>
      <c r="BB63" s="15"/>
      <c r="BC63" s="15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</row>
    <row r="64" spans="1:248" ht="16.5" customHeight="1">
      <c r="AJ64" s="2"/>
      <c r="AK64" s="2"/>
      <c r="AM64" s="2"/>
      <c r="AN64" s="2"/>
      <c r="AP64" s="2"/>
      <c r="AQ64" s="2"/>
      <c r="AT64" s="10"/>
      <c r="AU64" s="61">
        <f>AU$1</f>
        <v>46174</v>
      </c>
      <c r="AV64" s="62"/>
      <c r="AW64" s="62"/>
      <c r="AX64" s="62"/>
      <c r="AY64" s="62"/>
      <c r="AZ64" s="62"/>
      <c r="BA64" s="62"/>
      <c r="BB64" s="10" t="s">
        <v>19</v>
      </c>
      <c r="BC64" s="10" t="s">
        <v>20</v>
      </c>
    </row>
    <row r="65" spans="1:248" ht="22.5" customHeight="1">
      <c r="A65" s="75" t="s">
        <v>18</v>
      </c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</row>
    <row r="66" spans="1:248" ht="26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</row>
    <row r="67" spans="1:248" ht="18.75" customHeight="1">
      <c r="A67" s="78" t="s">
        <v>1</v>
      </c>
      <c r="B67" s="79"/>
      <c r="C67" s="79"/>
      <c r="D67" s="80"/>
      <c r="E67" s="81">
        <f>E$4</f>
        <v>0</v>
      </c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2"/>
      <c r="U67" s="83" t="s">
        <v>2</v>
      </c>
      <c r="V67" s="84"/>
      <c r="W67" s="85"/>
      <c r="X67" s="89" t="str">
        <f>X4</f>
        <v>男</v>
      </c>
      <c r="Y67" s="90"/>
      <c r="Z67" s="83" t="s">
        <v>3</v>
      </c>
      <c r="AA67" s="84"/>
      <c r="AB67" s="84"/>
      <c r="AC67" s="85"/>
      <c r="AD67" s="93">
        <f>AD4</f>
        <v>25851</v>
      </c>
      <c r="AE67" s="93"/>
      <c r="AF67" s="93"/>
      <c r="AG67" s="93"/>
      <c r="AH67" s="93"/>
      <c r="AI67" s="93"/>
      <c r="AJ67" s="93"/>
      <c r="AK67" s="93"/>
      <c r="AL67" s="93"/>
      <c r="AM67" s="93"/>
      <c r="AN67" s="94"/>
      <c r="AO67" s="83" t="s">
        <v>0</v>
      </c>
      <c r="AP67" s="85"/>
      <c r="AQ67" s="89">
        <f>AQ4</f>
        <v>55</v>
      </c>
      <c r="AR67" s="89"/>
      <c r="AS67" s="59" t="s">
        <v>4</v>
      </c>
      <c r="AT67" s="97" t="s">
        <v>13</v>
      </c>
      <c r="AU67" s="98"/>
      <c r="AV67" s="99"/>
      <c r="AW67" s="191">
        <f>AW4</f>
        <v>34</v>
      </c>
      <c r="AX67" s="192"/>
      <c r="AY67" s="89" t="s">
        <v>5</v>
      </c>
      <c r="AZ67" s="145">
        <f>AZ4</f>
        <v>9</v>
      </c>
      <c r="BA67" s="120"/>
      <c r="BB67" s="146" t="s">
        <v>6</v>
      </c>
      <c r="BC67" s="147"/>
    </row>
    <row r="68" spans="1:248" ht="20.25" customHeight="1">
      <c r="A68" s="86" t="s">
        <v>7</v>
      </c>
      <c r="B68" s="87"/>
      <c r="C68" s="87"/>
      <c r="D68" s="88"/>
      <c r="E68" s="91" t="s">
        <v>79</v>
      </c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2"/>
      <c r="U68" s="86"/>
      <c r="V68" s="87"/>
      <c r="W68" s="88"/>
      <c r="X68" s="91"/>
      <c r="Y68" s="92"/>
      <c r="Z68" s="86"/>
      <c r="AA68" s="87"/>
      <c r="AB68" s="87"/>
      <c r="AC68" s="88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6"/>
      <c r="AO68" s="86"/>
      <c r="AP68" s="88"/>
      <c r="AQ68" s="91"/>
      <c r="AR68" s="91"/>
      <c r="AS68" s="60"/>
      <c r="AT68" s="100"/>
      <c r="AU68" s="101"/>
      <c r="AV68" s="102"/>
      <c r="AW68" s="193"/>
      <c r="AX68" s="193"/>
      <c r="AY68" s="91"/>
      <c r="AZ68" s="91"/>
      <c r="BA68" s="91"/>
      <c r="BB68" s="60"/>
      <c r="BC68" s="148"/>
    </row>
    <row r="69" spans="1:248" ht="20.25" customHeight="1"/>
    <row r="70" spans="1:248" ht="20.25" customHeight="1">
      <c r="A70" s="197" t="s">
        <v>8</v>
      </c>
      <c r="B70" s="194" t="s">
        <v>15</v>
      </c>
      <c r="C70" s="195"/>
      <c r="D70" s="195"/>
      <c r="E70" s="195"/>
      <c r="F70" s="195"/>
      <c r="G70" s="195"/>
      <c r="H70" s="195"/>
      <c r="I70" s="195"/>
      <c r="J70" s="195"/>
      <c r="K70" s="195"/>
      <c r="L70" s="196"/>
      <c r="M70" s="64" t="s">
        <v>14</v>
      </c>
      <c r="N70" s="65"/>
      <c r="O70" s="65"/>
      <c r="P70" s="65"/>
      <c r="Q70" s="65"/>
      <c r="R70" s="66"/>
      <c r="S70" s="64" t="s">
        <v>9</v>
      </c>
      <c r="T70" s="65"/>
      <c r="U70" s="65"/>
      <c r="V70" s="65"/>
      <c r="W70" s="66"/>
      <c r="X70" s="71" t="s">
        <v>25</v>
      </c>
      <c r="Y70" s="71"/>
      <c r="Z70" s="71"/>
      <c r="AA70" s="71"/>
      <c r="AB70" s="71" t="s">
        <v>10</v>
      </c>
      <c r="AC70" s="71"/>
      <c r="AD70" s="71"/>
      <c r="AE70" s="71"/>
      <c r="AF70" s="70" t="s">
        <v>26</v>
      </c>
      <c r="AG70" s="70"/>
      <c r="AH70" s="70" t="s">
        <v>23</v>
      </c>
      <c r="AI70" s="70"/>
      <c r="AJ70" s="70"/>
      <c r="AK70" s="70"/>
      <c r="AL70" s="71" t="s">
        <v>24</v>
      </c>
      <c r="AM70" s="71"/>
      <c r="AN70" s="71"/>
      <c r="AO70" s="71"/>
      <c r="AP70" s="71"/>
      <c r="AQ70" s="71"/>
      <c r="AR70" s="71"/>
      <c r="AS70" s="71"/>
      <c r="AT70" s="71"/>
      <c r="AU70" s="64" t="s">
        <v>21</v>
      </c>
      <c r="AV70" s="65"/>
      <c r="AW70" s="65"/>
      <c r="AX70" s="65"/>
      <c r="AY70" s="65"/>
      <c r="AZ70" s="65"/>
      <c r="BA70" s="66"/>
      <c r="BB70" s="72" t="s">
        <v>22</v>
      </c>
      <c r="BC70" s="66"/>
    </row>
    <row r="71" spans="1:248" ht="29.25" customHeight="1">
      <c r="A71" s="198"/>
      <c r="B71" s="67" t="s">
        <v>11</v>
      </c>
      <c r="C71" s="68"/>
      <c r="D71" s="68"/>
      <c r="E71" s="68"/>
      <c r="F71" s="73" t="s">
        <v>12</v>
      </c>
      <c r="G71" s="73"/>
      <c r="H71" s="73"/>
      <c r="I71" s="73"/>
      <c r="J71" s="73"/>
      <c r="K71" s="73"/>
      <c r="L71" s="74"/>
      <c r="M71" s="67"/>
      <c r="N71" s="68"/>
      <c r="O71" s="68"/>
      <c r="P71" s="68"/>
      <c r="Q71" s="68"/>
      <c r="R71" s="69"/>
      <c r="S71" s="67"/>
      <c r="T71" s="68"/>
      <c r="U71" s="68"/>
      <c r="V71" s="68"/>
      <c r="W71" s="69"/>
      <c r="X71" s="71"/>
      <c r="Y71" s="71"/>
      <c r="Z71" s="71"/>
      <c r="AA71" s="71"/>
      <c r="AB71" s="71"/>
      <c r="AC71" s="71"/>
      <c r="AD71" s="71"/>
      <c r="AE71" s="71"/>
      <c r="AF71" s="70"/>
      <c r="AG71" s="70"/>
      <c r="AH71" s="70"/>
      <c r="AI71" s="70"/>
      <c r="AJ71" s="70"/>
      <c r="AK71" s="70"/>
      <c r="AL71" s="71"/>
      <c r="AM71" s="71"/>
      <c r="AN71" s="71"/>
      <c r="AO71" s="71"/>
      <c r="AP71" s="71"/>
      <c r="AQ71" s="71"/>
      <c r="AR71" s="71"/>
      <c r="AS71" s="71"/>
      <c r="AT71" s="71"/>
      <c r="AU71" s="67"/>
      <c r="AV71" s="68"/>
      <c r="AW71" s="68"/>
      <c r="AX71" s="68"/>
      <c r="AY71" s="68"/>
      <c r="AZ71" s="68"/>
      <c r="BA71" s="69"/>
      <c r="BB71" s="67"/>
      <c r="BC71" s="69"/>
    </row>
    <row r="72" spans="1:248" ht="23.1" customHeight="1">
      <c r="A72" s="25" t="s">
        <v>131</v>
      </c>
      <c r="B72" s="49" t="s">
        <v>147</v>
      </c>
      <c r="C72" s="50"/>
      <c r="D72" s="50"/>
      <c r="E72" s="50"/>
      <c r="F72" s="50"/>
      <c r="G72" s="50"/>
      <c r="H72" s="50"/>
      <c r="I72" s="50"/>
      <c r="J72" s="50"/>
      <c r="K72" s="50"/>
      <c r="L72" s="51"/>
      <c r="M72" s="29" t="s">
        <v>213</v>
      </c>
      <c r="N72" s="29"/>
      <c r="O72" s="29"/>
      <c r="P72" s="29"/>
      <c r="Q72" s="29"/>
      <c r="R72" s="29"/>
      <c r="S72" s="30" t="s">
        <v>148</v>
      </c>
      <c r="T72" s="30"/>
      <c r="U72" s="30"/>
      <c r="V72" s="30"/>
      <c r="W72" s="30"/>
      <c r="X72" s="29" t="s">
        <v>125</v>
      </c>
      <c r="Y72" s="30"/>
      <c r="Z72" s="30"/>
      <c r="AA72" s="30"/>
      <c r="AB72" s="31" t="s">
        <v>149</v>
      </c>
      <c r="AC72" s="32"/>
      <c r="AD72" s="32"/>
      <c r="AE72" s="32"/>
      <c r="AF72" s="33" t="s">
        <v>47</v>
      </c>
      <c r="AG72" s="34"/>
      <c r="AH72" s="30" t="s">
        <v>150</v>
      </c>
      <c r="AI72" s="35"/>
      <c r="AJ72" s="35"/>
      <c r="AK72" s="35"/>
      <c r="AL72" s="29" t="s">
        <v>151</v>
      </c>
      <c r="AM72" s="36"/>
      <c r="AN72" s="36"/>
      <c r="AO72" s="36"/>
      <c r="AP72" s="36"/>
      <c r="AQ72" s="36"/>
      <c r="AR72" s="36"/>
      <c r="AS72" s="36"/>
      <c r="AT72" s="36"/>
      <c r="AU72" s="37">
        <v>44562</v>
      </c>
      <c r="AV72" s="38"/>
      <c r="AW72" s="38"/>
      <c r="AX72" s="166" t="s">
        <v>16</v>
      </c>
      <c r="AY72" s="38">
        <v>44834</v>
      </c>
      <c r="AZ72" s="38"/>
      <c r="BA72" s="116"/>
      <c r="BB72" s="168">
        <f>IF(AU72="","",(DATEDIF(AU72,AY72,"m")+1))</f>
        <v>9</v>
      </c>
      <c r="BC72" s="169"/>
    </row>
    <row r="73" spans="1:248" ht="23.1" customHeight="1">
      <c r="A73" s="25"/>
      <c r="B73" s="21" t="s">
        <v>65</v>
      </c>
      <c r="C73" s="22"/>
      <c r="D73" s="22"/>
      <c r="E73" s="22"/>
      <c r="F73" s="23"/>
      <c r="G73" s="23"/>
      <c r="H73" s="23"/>
      <c r="I73" s="23"/>
      <c r="J73" s="23"/>
      <c r="K73" s="23"/>
      <c r="L73" s="24"/>
      <c r="M73" s="29"/>
      <c r="N73" s="29"/>
      <c r="O73" s="29"/>
      <c r="P73" s="29"/>
      <c r="Q73" s="29"/>
      <c r="R73" s="29"/>
      <c r="S73" s="30"/>
      <c r="T73" s="30"/>
      <c r="U73" s="30"/>
      <c r="V73" s="30"/>
      <c r="W73" s="30"/>
      <c r="X73" s="30"/>
      <c r="Y73" s="30"/>
      <c r="Z73" s="30"/>
      <c r="AA73" s="30"/>
      <c r="AB73" s="32"/>
      <c r="AC73" s="32"/>
      <c r="AD73" s="32"/>
      <c r="AE73" s="32"/>
      <c r="AF73" s="34"/>
      <c r="AG73" s="34"/>
      <c r="AH73" s="35"/>
      <c r="AI73" s="35"/>
      <c r="AJ73" s="35"/>
      <c r="AK73" s="35"/>
      <c r="AL73" s="36"/>
      <c r="AM73" s="36"/>
      <c r="AN73" s="36"/>
      <c r="AO73" s="36"/>
      <c r="AP73" s="36"/>
      <c r="AQ73" s="36"/>
      <c r="AR73" s="36"/>
      <c r="AS73" s="36"/>
      <c r="AT73" s="36"/>
      <c r="AU73" s="39"/>
      <c r="AV73" s="40"/>
      <c r="AW73" s="40"/>
      <c r="AX73" s="167"/>
      <c r="AY73" s="40"/>
      <c r="AZ73" s="40"/>
      <c r="BA73" s="117"/>
      <c r="BB73" s="170"/>
      <c r="BC73" s="171"/>
    </row>
    <row r="74" spans="1:248" ht="23.1" customHeight="1">
      <c r="A74" s="25" t="s">
        <v>132</v>
      </c>
      <c r="B74" s="49" t="s">
        <v>153</v>
      </c>
      <c r="C74" s="50"/>
      <c r="D74" s="50"/>
      <c r="E74" s="50"/>
      <c r="F74" s="50"/>
      <c r="G74" s="50"/>
      <c r="H74" s="50"/>
      <c r="I74" s="50"/>
      <c r="J74" s="50"/>
      <c r="K74" s="50"/>
      <c r="L74" s="51"/>
      <c r="M74" s="29" t="s">
        <v>212</v>
      </c>
      <c r="N74" s="29"/>
      <c r="O74" s="29"/>
      <c r="P74" s="29"/>
      <c r="Q74" s="29"/>
      <c r="R74" s="29"/>
      <c r="S74" s="30" t="s">
        <v>152</v>
      </c>
      <c r="T74" s="30"/>
      <c r="U74" s="30"/>
      <c r="V74" s="30"/>
      <c r="W74" s="30"/>
      <c r="X74" s="29" t="s">
        <v>158</v>
      </c>
      <c r="Y74" s="30"/>
      <c r="Z74" s="30"/>
      <c r="AA74" s="30"/>
      <c r="AB74" s="31"/>
      <c r="AC74" s="32"/>
      <c r="AD74" s="32"/>
      <c r="AE74" s="32"/>
      <c r="AF74" s="33" t="s">
        <v>47</v>
      </c>
      <c r="AG74" s="34"/>
      <c r="AH74" s="30" t="s">
        <v>150</v>
      </c>
      <c r="AI74" s="35"/>
      <c r="AJ74" s="35"/>
      <c r="AK74" s="35"/>
      <c r="AL74" s="29" t="s">
        <v>155</v>
      </c>
      <c r="AM74" s="36"/>
      <c r="AN74" s="36"/>
      <c r="AO74" s="36"/>
      <c r="AP74" s="36"/>
      <c r="AQ74" s="36"/>
      <c r="AR74" s="36"/>
      <c r="AS74" s="36"/>
      <c r="AT74" s="36"/>
      <c r="AU74" s="43">
        <v>44835</v>
      </c>
      <c r="AV74" s="43"/>
      <c r="AW74" s="63"/>
      <c r="AX74" s="41" t="s">
        <v>16</v>
      </c>
      <c r="AY74" s="42">
        <v>44926</v>
      </c>
      <c r="AZ74" s="43"/>
      <c r="BA74" s="43"/>
      <c r="BB74" s="20">
        <f>IF(AU74="","",(DATEDIF(AU74,AY74,"m")+1))</f>
        <v>3</v>
      </c>
      <c r="BC74" s="20"/>
    </row>
    <row r="75" spans="1:248" ht="23.1" customHeight="1">
      <c r="A75" s="25"/>
      <c r="B75" s="21" t="s">
        <v>65</v>
      </c>
      <c r="C75" s="22"/>
      <c r="D75" s="22"/>
      <c r="E75" s="22"/>
      <c r="F75" s="23" t="s">
        <v>154</v>
      </c>
      <c r="G75" s="23"/>
      <c r="H75" s="23"/>
      <c r="I75" s="23"/>
      <c r="J75" s="23"/>
      <c r="K75" s="23"/>
      <c r="L75" s="24"/>
      <c r="M75" s="29"/>
      <c r="N75" s="29"/>
      <c r="O75" s="29"/>
      <c r="P75" s="29"/>
      <c r="Q75" s="29"/>
      <c r="R75" s="29"/>
      <c r="S75" s="30"/>
      <c r="T75" s="30"/>
      <c r="U75" s="30"/>
      <c r="V75" s="30"/>
      <c r="W75" s="30"/>
      <c r="X75" s="30"/>
      <c r="Y75" s="30"/>
      <c r="Z75" s="30"/>
      <c r="AA75" s="30"/>
      <c r="AB75" s="32"/>
      <c r="AC75" s="32"/>
      <c r="AD75" s="32"/>
      <c r="AE75" s="32"/>
      <c r="AF75" s="34"/>
      <c r="AG75" s="34"/>
      <c r="AH75" s="35"/>
      <c r="AI75" s="35"/>
      <c r="AJ75" s="35"/>
      <c r="AK75" s="35"/>
      <c r="AL75" s="36"/>
      <c r="AM75" s="36"/>
      <c r="AN75" s="36"/>
      <c r="AO75" s="36"/>
      <c r="AP75" s="36"/>
      <c r="AQ75" s="36"/>
      <c r="AR75" s="36"/>
      <c r="AS75" s="36"/>
      <c r="AT75" s="36"/>
      <c r="AU75" s="43"/>
      <c r="AV75" s="43"/>
      <c r="AW75" s="63"/>
      <c r="AX75" s="41"/>
      <c r="AY75" s="42"/>
      <c r="AZ75" s="43"/>
      <c r="BA75" s="43"/>
      <c r="BB75" s="20"/>
      <c r="BC75" s="20"/>
    </row>
    <row r="76" spans="1:248" ht="23.1" customHeight="1">
      <c r="A76" s="25" t="s">
        <v>133</v>
      </c>
      <c r="B76" s="49" t="s">
        <v>153</v>
      </c>
      <c r="C76" s="50"/>
      <c r="D76" s="50"/>
      <c r="E76" s="50"/>
      <c r="F76" s="50"/>
      <c r="G76" s="50"/>
      <c r="H76" s="50"/>
      <c r="I76" s="50"/>
      <c r="J76" s="50"/>
      <c r="K76" s="50"/>
      <c r="L76" s="51"/>
      <c r="M76" s="29" t="s">
        <v>211</v>
      </c>
      <c r="N76" s="29"/>
      <c r="O76" s="29"/>
      <c r="P76" s="29"/>
      <c r="Q76" s="29"/>
      <c r="R76" s="29"/>
      <c r="S76" s="30" t="s">
        <v>157</v>
      </c>
      <c r="T76" s="30"/>
      <c r="U76" s="30"/>
      <c r="V76" s="30"/>
      <c r="W76" s="30"/>
      <c r="X76" s="29" t="s">
        <v>158</v>
      </c>
      <c r="Y76" s="30"/>
      <c r="Z76" s="30"/>
      <c r="AA76" s="30"/>
      <c r="AB76" s="31" t="s">
        <v>159</v>
      </c>
      <c r="AC76" s="32"/>
      <c r="AD76" s="32"/>
      <c r="AE76" s="32"/>
      <c r="AF76" s="33" t="s">
        <v>47</v>
      </c>
      <c r="AG76" s="34"/>
      <c r="AH76" s="30" t="s">
        <v>162</v>
      </c>
      <c r="AI76" s="35"/>
      <c r="AJ76" s="35"/>
      <c r="AK76" s="35"/>
      <c r="AL76" s="29" t="s">
        <v>160</v>
      </c>
      <c r="AM76" s="36"/>
      <c r="AN76" s="36"/>
      <c r="AO76" s="36"/>
      <c r="AP76" s="36"/>
      <c r="AQ76" s="36"/>
      <c r="AR76" s="36"/>
      <c r="AS76" s="36"/>
      <c r="AT76" s="36"/>
      <c r="AU76" s="43">
        <v>44927</v>
      </c>
      <c r="AV76" s="43"/>
      <c r="AW76" s="63"/>
      <c r="AX76" s="41" t="s">
        <v>16</v>
      </c>
      <c r="AY76" s="42">
        <v>45107</v>
      </c>
      <c r="AZ76" s="43"/>
      <c r="BA76" s="43"/>
      <c r="BB76" s="20">
        <f>IF(AU76="","",(DATEDIF(AU76,AY76,"m")+1))</f>
        <v>6</v>
      </c>
      <c r="BC76" s="20"/>
    </row>
    <row r="77" spans="1:248" ht="23.1" customHeight="1">
      <c r="A77" s="25"/>
      <c r="B77" s="21" t="s">
        <v>65</v>
      </c>
      <c r="C77" s="22"/>
      <c r="D77" s="22"/>
      <c r="E77" s="22"/>
      <c r="F77" s="23" t="s">
        <v>156</v>
      </c>
      <c r="G77" s="23"/>
      <c r="H77" s="23"/>
      <c r="I77" s="23"/>
      <c r="J77" s="23"/>
      <c r="K77" s="23"/>
      <c r="L77" s="24"/>
      <c r="M77" s="29"/>
      <c r="N77" s="29"/>
      <c r="O77" s="29"/>
      <c r="P77" s="29"/>
      <c r="Q77" s="29"/>
      <c r="R77" s="29"/>
      <c r="S77" s="30"/>
      <c r="T77" s="30"/>
      <c r="U77" s="30"/>
      <c r="V77" s="30"/>
      <c r="W77" s="30"/>
      <c r="X77" s="30"/>
      <c r="Y77" s="30"/>
      <c r="Z77" s="30"/>
      <c r="AA77" s="30"/>
      <c r="AB77" s="32"/>
      <c r="AC77" s="32"/>
      <c r="AD77" s="32"/>
      <c r="AE77" s="32"/>
      <c r="AF77" s="34"/>
      <c r="AG77" s="34"/>
      <c r="AH77" s="35"/>
      <c r="AI77" s="35"/>
      <c r="AJ77" s="35"/>
      <c r="AK77" s="35"/>
      <c r="AL77" s="36"/>
      <c r="AM77" s="36"/>
      <c r="AN77" s="36"/>
      <c r="AO77" s="36"/>
      <c r="AP77" s="36"/>
      <c r="AQ77" s="36"/>
      <c r="AR77" s="36"/>
      <c r="AS77" s="36"/>
      <c r="AT77" s="36"/>
      <c r="AU77" s="43"/>
      <c r="AV77" s="43"/>
      <c r="AW77" s="63"/>
      <c r="AX77" s="41"/>
      <c r="AY77" s="42"/>
      <c r="AZ77" s="43"/>
      <c r="BA77" s="43"/>
      <c r="BB77" s="20"/>
      <c r="BC77" s="20"/>
    </row>
    <row r="78" spans="1:248" ht="23.1" customHeight="1">
      <c r="A78" s="25" t="s">
        <v>146</v>
      </c>
      <c r="B78" s="49" t="s">
        <v>124</v>
      </c>
      <c r="C78" s="50"/>
      <c r="D78" s="50"/>
      <c r="E78" s="50"/>
      <c r="F78" s="50"/>
      <c r="G78" s="50"/>
      <c r="H78" s="50"/>
      <c r="I78" s="50"/>
      <c r="J78" s="50"/>
      <c r="K78" s="50"/>
      <c r="L78" s="51"/>
      <c r="M78" s="29" t="s">
        <v>209</v>
      </c>
      <c r="N78" s="29"/>
      <c r="O78" s="29"/>
      <c r="P78" s="29"/>
      <c r="Q78" s="29"/>
      <c r="R78" s="29"/>
      <c r="S78" s="30" t="s">
        <v>161</v>
      </c>
      <c r="T78" s="30"/>
      <c r="U78" s="30"/>
      <c r="V78" s="30"/>
      <c r="W78" s="30"/>
      <c r="X78" s="29" t="s">
        <v>158</v>
      </c>
      <c r="Y78" s="30"/>
      <c r="Z78" s="30"/>
      <c r="AA78" s="30"/>
      <c r="AB78" s="31" t="s">
        <v>159</v>
      </c>
      <c r="AC78" s="32"/>
      <c r="AD78" s="32"/>
      <c r="AE78" s="32"/>
      <c r="AF78" s="33" t="s">
        <v>47</v>
      </c>
      <c r="AG78" s="34"/>
      <c r="AH78" s="30" t="s">
        <v>162</v>
      </c>
      <c r="AI78" s="35"/>
      <c r="AJ78" s="35"/>
      <c r="AK78" s="35"/>
      <c r="AL78" s="29" t="s">
        <v>163</v>
      </c>
      <c r="AM78" s="36"/>
      <c r="AN78" s="36"/>
      <c r="AO78" s="36"/>
      <c r="AP78" s="36"/>
      <c r="AQ78" s="36"/>
      <c r="AR78" s="36"/>
      <c r="AS78" s="36"/>
      <c r="AT78" s="36"/>
      <c r="AU78" s="43">
        <v>45108</v>
      </c>
      <c r="AV78" s="43"/>
      <c r="AW78" s="63"/>
      <c r="AX78" s="41" t="s">
        <v>16</v>
      </c>
      <c r="AY78" s="42">
        <v>45261</v>
      </c>
      <c r="AZ78" s="43"/>
      <c r="BA78" s="43"/>
      <c r="BB78" s="20">
        <f>IF(AU78="","",(DATEDIF(AU78,AY78,"m")+1))</f>
        <v>6</v>
      </c>
      <c r="BC78" s="20"/>
    </row>
    <row r="79" spans="1:248" ht="23.1" customHeight="1">
      <c r="A79" s="25"/>
      <c r="B79" s="21" t="s">
        <v>65</v>
      </c>
      <c r="C79" s="22"/>
      <c r="D79" s="22"/>
      <c r="E79" s="22"/>
      <c r="F79" s="23" t="s">
        <v>156</v>
      </c>
      <c r="G79" s="23"/>
      <c r="H79" s="23"/>
      <c r="I79" s="23"/>
      <c r="J79" s="23"/>
      <c r="K79" s="23"/>
      <c r="L79" s="24"/>
      <c r="M79" s="29"/>
      <c r="N79" s="29"/>
      <c r="O79" s="29"/>
      <c r="P79" s="29"/>
      <c r="Q79" s="29"/>
      <c r="R79" s="29"/>
      <c r="S79" s="30"/>
      <c r="T79" s="30"/>
      <c r="U79" s="30"/>
      <c r="V79" s="30"/>
      <c r="W79" s="30"/>
      <c r="X79" s="30"/>
      <c r="Y79" s="30"/>
      <c r="Z79" s="30"/>
      <c r="AA79" s="30"/>
      <c r="AB79" s="32"/>
      <c r="AC79" s="32"/>
      <c r="AD79" s="32"/>
      <c r="AE79" s="32"/>
      <c r="AF79" s="34"/>
      <c r="AG79" s="34"/>
      <c r="AH79" s="35"/>
      <c r="AI79" s="35"/>
      <c r="AJ79" s="35"/>
      <c r="AK79" s="35"/>
      <c r="AL79" s="36"/>
      <c r="AM79" s="36"/>
      <c r="AN79" s="36"/>
      <c r="AO79" s="36"/>
      <c r="AP79" s="36"/>
      <c r="AQ79" s="36"/>
      <c r="AR79" s="36"/>
      <c r="AS79" s="36"/>
      <c r="AT79" s="36"/>
      <c r="AU79" s="43"/>
      <c r="AV79" s="43"/>
      <c r="AW79" s="63"/>
      <c r="AX79" s="41"/>
      <c r="AY79" s="42"/>
      <c r="AZ79" s="43"/>
      <c r="BA79" s="43"/>
      <c r="BB79" s="20"/>
      <c r="BC79" s="20"/>
    </row>
    <row r="80" spans="1:248" ht="23.1" customHeight="1">
      <c r="A80" s="25" t="s">
        <v>190</v>
      </c>
      <c r="B80" s="49" t="s">
        <v>124</v>
      </c>
      <c r="C80" s="50"/>
      <c r="D80" s="50"/>
      <c r="E80" s="50"/>
      <c r="F80" s="50"/>
      <c r="G80" s="50"/>
      <c r="H80" s="50"/>
      <c r="I80" s="50"/>
      <c r="J80" s="50"/>
      <c r="K80" s="50"/>
      <c r="L80" s="51"/>
      <c r="M80" s="29" t="s">
        <v>210</v>
      </c>
      <c r="N80" s="29"/>
      <c r="O80" s="29"/>
      <c r="P80" s="29"/>
      <c r="Q80" s="29"/>
      <c r="R80" s="29"/>
      <c r="S80" s="30" t="s">
        <v>165</v>
      </c>
      <c r="T80" s="30"/>
      <c r="U80" s="30"/>
      <c r="V80" s="30"/>
      <c r="W80" s="30"/>
      <c r="X80" s="29" t="s">
        <v>125</v>
      </c>
      <c r="Y80" s="30"/>
      <c r="Z80" s="30"/>
      <c r="AA80" s="30"/>
      <c r="AB80" s="31" t="s">
        <v>113</v>
      </c>
      <c r="AC80" s="32"/>
      <c r="AD80" s="32"/>
      <c r="AE80" s="32"/>
      <c r="AF80" s="33" t="s">
        <v>47</v>
      </c>
      <c r="AG80" s="34"/>
      <c r="AH80" s="30"/>
      <c r="AI80" s="35"/>
      <c r="AJ80" s="35"/>
      <c r="AK80" s="35"/>
      <c r="AL80" s="29" t="s">
        <v>166</v>
      </c>
      <c r="AM80" s="36"/>
      <c r="AN80" s="36"/>
      <c r="AO80" s="36"/>
      <c r="AP80" s="36"/>
      <c r="AQ80" s="36"/>
      <c r="AR80" s="36"/>
      <c r="AS80" s="36"/>
      <c r="AT80" s="36"/>
      <c r="AU80" s="43">
        <v>45292</v>
      </c>
      <c r="AV80" s="43"/>
      <c r="AW80" s="63"/>
      <c r="AX80" s="41" t="s">
        <v>16</v>
      </c>
      <c r="AY80" s="42">
        <v>45747</v>
      </c>
      <c r="AZ80" s="43"/>
      <c r="BA80" s="43"/>
      <c r="BB80" s="20">
        <f>IF(AU80="","",(DATEDIF(AU80,AY80,"m")+1))</f>
        <v>15</v>
      </c>
      <c r="BC80" s="2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</row>
    <row r="81" spans="1:248" ht="23.1" customHeight="1">
      <c r="A81" s="25"/>
      <c r="B81" s="21" t="s">
        <v>65</v>
      </c>
      <c r="C81" s="22"/>
      <c r="D81" s="22"/>
      <c r="E81" s="22"/>
      <c r="F81" s="23" t="s">
        <v>164</v>
      </c>
      <c r="G81" s="23"/>
      <c r="H81" s="23"/>
      <c r="I81" s="23"/>
      <c r="J81" s="23"/>
      <c r="K81" s="23"/>
      <c r="L81" s="24"/>
      <c r="M81" s="29"/>
      <c r="N81" s="29"/>
      <c r="O81" s="29"/>
      <c r="P81" s="29"/>
      <c r="Q81" s="29"/>
      <c r="R81" s="29"/>
      <c r="S81" s="30"/>
      <c r="T81" s="30"/>
      <c r="U81" s="30"/>
      <c r="V81" s="30"/>
      <c r="W81" s="30"/>
      <c r="X81" s="30"/>
      <c r="Y81" s="30"/>
      <c r="Z81" s="30"/>
      <c r="AA81" s="30"/>
      <c r="AB81" s="32"/>
      <c r="AC81" s="32"/>
      <c r="AD81" s="32"/>
      <c r="AE81" s="32"/>
      <c r="AF81" s="34"/>
      <c r="AG81" s="34"/>
      <c r="AH81" s="35"/>
      <c r="AI81" s="35"/>
      <c r="AJ81" s="35"/>
      <c r="AK81" s="35"/>
      <c r="AL81" s="36"/>
      <c r="AM81" s="36"/>
      <c r="AN81" s="36"/>
      <c r="AO81" s="36"/>
      <c r="AP81" s="36"/>
      <c r="AQ81" s="36"/>
      <c r="AR81" s="36"/>
      <c r="AS81" s="36"/>
      <c r="AT81" s="36"/>
      <c r="AU81" s="43"/>
      <c r="AV81" s="43"/>
      <c r="AW81" s="63"/>
      <c r="AX81" s="41"/>
      <c r="AY81" s="42"/>
      <c r="AZ81" s="43"/>
      <c r="BA81" s="43"/>
      <c r="BB81" s="20"/>
      <c r="BC81" s="20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</row>
    <row r="82" spans="1:248" ht="23.1" customHeight="1">
      <c r="A82" s="25" t="s">
        <v>191</v>
      </c>
      <c r="B82" s="26" t="s">
        <v>194</v>
      </c>
      <c r="C82" s="27"/>
      <c r="D82" s="27"/>
      <c r="E82" s="27"/>
      <c r="F82" s="27"/>
      <c r="G82" s="27"/>
      <c r="H82" s="27"/>
      <c r="I82" s="27"/>
      <c r="J82" s="27"/>
      <c r="K82" s="27"/>
      <c r="L82" s="28"/>
      <c r="M82" s="29" t="s">
        <v>205</v>
      </c>
      <c r="N82" s="29"/>
      <c r="O82" s="29"/>
      <c r="P82" s="29"/>
      <c r="Q82" s="29"/>
      <c r="R82" s="29"/>
      <c r="S82" s="30" t="s">
        <v>197</v>
      </c>
      <c r="T82" s="30"/>
      <c r="U82" s="30"/>
      <c r="V82" s="30"/>
      <c r="W82" s="30"/>
      <c r="X82" s="30" t="s">
        <v>86</v>
      </c>
      <c r="Y82" s="30"/>
      <c r="Z82" s="30"/>
      <c r="AA82" s="30"/>
      <c r="AB82" s="31" t="s">
        <v>196</v>
      </c>
      <c r="AC82" s="32"/>
      <c r="AD82" s="32"/>
      <c r="AE82" s="32"/>
      <c r="AF82" s="33" t="s">
        <v>47</v>
      </c>
      <c r="AG82" s="34"/>
      <c r="AH82" s="30"/>
      <c r="AI82" s="35"/>
      <c r="AJ82" s="35"/>
      <c r="AK82" s="35"/>
      <c r="AL82" s="29" t="s">
        <v>198</v>
      </c>
      <c r="AM82" s="36"/>
      <c r="AN82" s="36"/>
      <c r="AO82" s="36"/>
      <c r="AP82" s="36"/>
      <c r="AQ82" s="36"/>
      <c r="AR82" s="36"/>
      <c r="AS82" s="36"/>
      <c r="AT82" s="36"/>
      <c r="AU82" s="37">
        <v>45748</v>
      </c>
      <c r="AV82" s="38"/>
      <c r="AW82" s="38"/>
      <c r="AX82" s="41" t="s">
        <v>16</v>
      </c>
      <c r="AY82" s="42">
        <v>46053</v>
      </c>
      <c r="AZ82" s="43"/>
      <c r="BA82" s="43"/>
      <c r="BB82" s="20">
        <f>IF(AU82="","",(DATEDIF(AU82,AY82,"m")+1))</f>
        <v>10</v>
      </c>
      <c r="BC82" s="20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</row>
    <row r="83" spans="1:248" ht="23.1" customHeight="1">
      <c r="A83" s="25"/>
      <c r="B83" s="44" t="s">
        <v>76</v>
      </c>
      <c r="C83" s="45"/>
      <c r="D83" s="45"/>
      <c r="E83" s="45"/>
      <c r="F83" s="46" t="s">
        <v>87</v>
      </c>
      <c r="G83" s="47"/>
      <c r="H83" s="47"/>
      <c r="I83" s="47"/>
      <c r="J83" s="47"/>
      <c r="K83" s="47"/>
      <c r="L83" s="48"/>
      <c r="M83" s="29"/>
      <c r="N83" s="29"/>
      <c r="O83" s="29"/>
      <c r="P83" s="29"/>
      <c r="Q83" s="29"/>
      <c r="R83" s="29"/>
      <c r="S83" s="30"/>
      <c r="T83" s="30"/>
      <c r="U83" s="30"/>
      <c r="V83" s="30"/>
      <c r="W83" s="30"/>
      <c r="X83" s="30"/>
      <c r="Y83" s="30"/>
      <c r="Z83" s="30"/>
      <c r="AA83" s="30"/>
      <c r="AB83" s="32"/>
      <c r="AC83" s="32"/>
      <c r="AD83" s="32"/>
      <c r="AE83" s="32"/>
      <c r="AF83" s="34"/>
      <c r="AG83" s="34"/>
      <c r="AH83" s="35"/>
      <c r="AI83" s="35"/>
      <c r="AJ83" s="35"/>
      <c r="AK83" s="35"/>
      <c r="AL83" s="36"/>
      <c r="AM83" s="36"/>
      <c r="AN83" s="36"/>
      <c r="AO83" s="36"/>
      <c r="AP83" s="36"/>
      <c r="AQ83" s="36"/>
      <c r="AR83" s="36"/>
      <c r="AS83" s="36"/>
      <c r="AT83" s="36"/>
      <c r="AU83" s="39"/>
      <c r="AV83" s="40"/>
      <c r="AW83" s="40"/>
      <c r="AX83" s="41"/>
      <c r="AY83" s="42"/>
      <c r="AZ83" s="43"/>
      <c r="BA83" s="43"/>
      <c r="BB83" s="20"/>
      <c r="BC83" s="20"/>
    </row>
    <row r="84" spans="1:248" ht="23.1" customHeight="1">
      <c r="A84" s="25" t="s">
        <v>192</v>
      </c>
      <c r="B84" s="26" t="s">
        <v>194</v>
      </c>
      <c r="C84" s="27"/>
      <c r="D84" s="27"/>
      <c r="E84" s="27"/>
      <c r="F84" s="27"/>
      <c r="G84" s="27"/>
      <c r="H84" s="27"/>
      <c r="I84" s="27"/>
      <c r="J84" s="27"/>
      <c r="K84" s="27"/>
      <c r="L84" s="28"/>
      <c r="M84" s="29" t="s">
        <v>204</v>
      </c>
      <c r="N84" s="29"/>
      <c r="O84" s="29"/>
      <c r="P84" s="29"/>
      <c r="Q84" s="29"/>
      <c r="R84" s="29"/>
      <c r="S84" s="30" t="s">
        <v>201</v>
      </c>
      <c r="T84" s="30"/>
      <c r="U84" s="30"/>
      <c r="V84" s="30"/>
      <c r="W84" s="30"/>
      <c r="X84" s="29" t="s">
        <v>202</v>
      </c>
      <c r="Y84" s="30"/>
      <c r="Z84" s="30"/>
      <c r="AA84" s="30"/>
      <c r="AB84" s="31" t="s">
        <v>159</v>
      </c>
      <c r="AC84" s="32"/>
      <c r="AD84" s="32"/>
      <c r="AE84" s="32"/>
      <c r="AF84" s="33" t="s">
        <v>47</v>
      </c>
      <c r="AG84" s="34"/>
      <c r="AH84" s="30"/>
      <c r="AI84" s="35"/>
      <c r="AJ84" s="35"/>
      <c r="AK84" s="35"/>
      <c r="AL84" s="29" t="s">
        <v>203</v>
      </c>
      <c r="AM84" s="36"/>
      <c r="AN84" s="36"/>
      <c r="AO84" s="36"/>
      <c r="AP84" s="36"/>
      <c r="AQ84" s="36"/>
      <c r="AR84" s="36"/>
      <c r="AS84" s="36"/>
      <c r="AT84" s="36"/>
      <c r="AU84" s="37">
        <v>46054</v>
      </c>
      <c r="AV84" s="38"/>
      <c r="AW84" s="38"/>
      <c r="AX84" s="41" t="s">
        <v>16</v>
      </c>
      <c r="AY84" s="42">
        <v>46174</v>
      </c>
      <c r="AZ84" s="43"/>
      <c r="BA84" s="43"/>
      <c r="BB84" s="20">
        <f>IF(AU84="","",(DATEDIF(AU84,AY84,"m")+1))</f>
        <v>5</v>
      </c>
      <c r="BC84" s="20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</row>
    <row r="85" spans="1:248" ht="23.1" customHeight="1">
      <c r="A85" s="25"/>
      <c r="B85" s="44" t="s">
        <v>76</v>
      </c>
      <c r="C85" s="45"/>
      <c r="D85" s="45"/>
      <c r="E85" s="45"/>
      <c r="F85" s="46" t="s">
        <v>87</v>
      </c>
      <c r="G85" s="47"/>
      <c r="H85" s="47"/>
      <c r="I85" s="47"/>
      <c r="J85" s="47"/>
      <c r="K85" s="47"/>
      <c r="L85" s="48"/>
      <c r="M85" s="29"/>
      <c r="N85" s="29"/>
      <c r="O85" s="29"/>
      <c r="P85" s="29"/>
      <c r="Q85" s="29"/>
      <c r="R85" s="29"/>
      <c r="S85" s="30"/>
      <c r="T85" s="30"/>
      <c r="U85" s="30"/>
      <c r="V85" s="30"/>
      <c r="W85" s="30"/>
      <c r="X85" s="30"/>
      <c r="Y85" s="30"/>
      <c r="Z85" s="30"/>
      <c r="AA85" s="30"/>
      <c r="AB85" s="32"/>
      <c r="AC85" s="32"/>
      <c r="AD85" s="32"/>
      <c r="AE85" s="32"/>
      <c r="AF85" s="34"/>
      <c r="AG85" s="34"/>
      <c r="AH85" s="35"/>
      <c r="AI85" s="35"/>
      <c r="AJ85" s="35"/>
      <c r="AK85" s="35"/>
      <c r="AL85" s="36"/>
      <c r="AM85" s="36"/>
      <c r="AN85" s="36"/>
      <c r="AO85" s="36"/>
      <c r="AP85" s="36"/>
      <c r="AQ85" s="36"/>
      <c r="AR85" s="36"/>
      <c r="AS85" s="36"/>
      <c r="AT85" s="36"/>
      <c r="AU85" s="39"/>
      <c r="AV85" s="40"/>
      <c r="AW85" s="40"/>
      <c r="AX85" s="41"/>
      <c r="AY85" s="42"/>
      <c r="AZ85" s="43"/>
      <c r="BA85" s="43"/>
      <c r="BB85" s="20"/>
      <c r="BC85" s="20"/>
    </row>
    <row r="86" spans="1:248" hidden="1">
      <c r="A86" s="11"/>
      <c r="B86" s="16"/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12"/>
      <c r="N86" s="12"/>
      <c r="O86" s="12"/>
      <c r="P86" s="12"/>
      <c r="Q86" s="12"/>
      <c r="R86" s="12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8"/>
      <c r="AG86" s="18"/>
      <c r="AH86" s="18"/>
      <c r="AI86" s="18"/>
      <c r="AJ86" s="18"/>
      <c r="AK86" s="18"/>
      <c r="AL86" s="12"/>
      <c r="AM86" s="12"/>
      <c r="AN86" s="12"/>
      <c r="AO86" s="12"/>
      <c r="AP86" s="12"/>
      <c r="AQ86" s="12"/>
      <c r="AR86" s="12"/>
      <c r="AS86" s="12"/>
      <c r="AT86" s="12"/>
      <c r="AU86" s="13"/>
      <c r="AV86" s="13"/>
      <c r="AW86" s="13"/>
      <c r="AX86" s="14"/>
      <c r="AY86" s="13"/>
      <c r="AZ86" s="13"/>
      <c r="BA86" s="13"/>
      <c r="BB86" s="15"/>
      <c r="BC86" s="15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</row>
    <row r="87" spans="1:248" hidden="1">
      <c r="A87" s="11"/>
      <c r="B87" s="16"/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12"/>
      <c r="N87" s="12"/>
      <c r="O87" s="12"/>
      <c r="P87" s="12"/>
      <c r="Q87" s="12"/>
      <c r="R87" s="12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8"/>
      <c r="AG87" s="18"/>
      <c r="AH87" s="18"/>
      <c r="AI87" s="18"/>
      <c r="AJ87" s="18"/>
      <c r="AK87" s="18"/>
      <c r="AL87" s="12"/>
      <c r="AM87" s="12"/>
      <c r="AN87" s="12"/>
      <c r="AO87" s="12"/>
      <c r="AP87" s="12"/>
      <c r="AQ87" s="12"/>
      <c r="AR87" s="12"/>
      <c r="AS87" s="12"/>
      <c r="AT87" s="12"/>
      <c r="AU87" s="13"/>
      <c r="AV87" s="13"/>
      <c r="AW87" s="13"/>
      <c r="AX87" s="14"/>
      <c r="AY87" s="13"/>
      <c r="AZ87" s="13"/>
      <c r="BA87" s="13"/>
      <c r="BB87" s="15"/>
      <c r="BC87" s="15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</row>
    <row r="88" spans="1:248" ht="16.5" hidden="1" customHeight="1">
      <c r="AJ88" s="2"/>
      <c r="AK88" s="2"/>
      <c r="AM88" s="2"/>
      <c r="AN88" s="2"/>
      <c r="AP88" s="2"/>
      <c r="AQ88" s="2"/>
      <c r="AT88" s="10"/>
      <c r="AU88" s="61">
        <f>AU$1</f>
        <v>46174</v>
      </c>
      <c r="AV88" s="62"/>
      <c r="AW88" s="62"/>
      <c r="AX88" s="62"/>
      <c r="AY88" s="62"/>
      <c r="AZ88" s="62"/>
      <c r="BA88" s="62"/>
      <c r="BB88" s="10" t="s">
        <v>19</v>
      </c>
      <c r="BC88" s="10" t="s">
        <v>20</v>
      </c>
    </row>
    <row r="89" spans="1:248" ht="22.5" hidden="1" customHeight="1">
      <c r="A89" s="75" t="s">
        <v>18</v>
      </c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</row>
    <row r="90" spans="1:248" ht="26.25" hidden="1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</row>
    <row r="91" spans="1:248" ht="18.75" hidden="1" customHeight="1">
      <c r="A91" s="78" t="s">
        <v>1</v>
      </c>
      <c r="B91" s="79"/>
      <c r="C91" s="79"/>
      <c r="D91" s="80"/>
      <c r="E91" s="81">
        <f>E$4</f>
        <v>0</v>
      </c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2"/>
      <c r="U91" s="83" t="s">
        <v>2</v>
      </c>
      <c r="V91" s="84"/>
      <c r="W91" s="85"/>
      <c r="X91" s="89" t="str">
        <f>X4</f>
        <v>男</v>
      </c>
      <c r="Y91" s="90"/>
      <c r="Z91" s="83" t="s">
        <v>3</v>
      </c>
      <c r="AA91" s="84"/>
      <c r="AB91" s="84"/>
      <c r="AC91" s="85"/>
      <c r="AD91" s="93">
        <f>AD4</f>
        <v>25851</v>
      </c>
      <c r="AE91" s="93"/>
      <c r="AF91" s="93"/>
      <c r="AG91" s="93"/>
      <c r="AH91" s="93"/>
      <c r="AI91" s="93"/>
      <c r="AJ91" s="93"/>
      <c r="AK91" s="93"/>
      <c r="AL91" s="93"/>
      <c r="AM91" s="93"/>
      <c r="AN91" s="94"/>
      <c r="AO91" s="83" t="s">
        <v>0</v>
      </c>
      <c r="AP91" s="85"/>
      <c r="AQ91" s="89">
        <f>AQ4</f>
        <v>55</v>
      </c>
      <c r="AR91" s="89"/>
      <c r="AS91" s="59" t="s">
        <v>4</v>
      </c>
      <c r="AT91" s="97" t="s">
        <v>13</v>
      </c>
      <c r="AU91" s="98"/>
      <c r="AV91" s="99"/>
      <c r="AW91" s="191">
        <f>AW4</f>
        <v>34</v>
      </c>
      <c r="AX91" s="192"/>
      <c r="AY91" s="89" t="s">
        <v>5</v>
      </c>
      <c r="AZ91" s="145">
        <f>AZ4</f>
        <v>9</v>
      </c>
      <c r="BA91" s="120"/>
      <c r="BB91" s="146" t="s">
        <v>6</v>
      </c>
      <c r="BC91" s="147"/>
    </row>
    <row r="92" spans="1:248" ht="20.25" hidden="1" customHeight="1">
      <c r="A92" s="86" t="s">
        <v>7</v>
      </c>
      <c r="B92" s="87"/>
      <c r="C92" s="87"/>
      <c r="D92" s="88"/>
      <c r="E92" s="91" t="s">
        <v>79</v>
      </c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2"/>
      <c r="U92" s="86"/>
      <c r="V92" s="87"/>
      <c r="W92" s="88"/>
      <c r="X92" s="91"/>
      <c r="Y92" s="92"/>
      <c r="Z92" s="86"/>
      <c r="AA92" s="87"/>
      <c r="AB92" s="87"/>
      <c r="AC92" s="88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6"/>
      <c r="AO92" s="86"/>
      <c r="AP92" s="88"/>
      <c r="AQ92" s="91"/>
      <c r="AR92" s="91"/>
      <c r="AS92" s="60"/>
      <c r="AT92" s="100"/>
      <c r="AU92" s="101"/>
      <c r="AV92" s="102"/>
      <c r="AW92" s="193"/>
      <c r="AX92" s="193"/>
      <c r="AY92" s="91"/>
      <c r="AZ92" s="91"/>
      <c r="BA92" s="91"/>
      <c r="BB92" s="60"/>
      <c r="BC92" s="148"/>
    </row>
    <row r="93" spans="1:248" ht="20.25" hidden="1" customHeight="1"/>
    <row r="94" spans="1:248" ht="20.25" hidden="1" customHeight="1">
      <c r="A94" s="197" t="s">
        <v>8</v>
      </c>
      <c r="B94" s="194" t="s">
        <v>15</v>
      </c>
      <c r="C94" s="195"/>
      <c r="D94" s="195"/>
      <c r="E94" s="195"/>
      <c r="F94" s="195"/>
      <c r="G94" s="195"/>
      <c r="H94" s="195"/>
      <c r="I94" s="195"/>
      <c r="J94" s="195"/>
      <c r="K94" s="195"/>
      <c r="L94" s="196"/>
      <c r="M94" s="64" t="s">
        <v>14</v>
      </c>
      <c r="N94" s="65"/>
      <c r="O94" s="65"/>
      <c r="P94" s="65"/>
      <c r="Q94" s="65"/>
      <c r="R94" s="66"/>
      <c r="S94" s="64" t="s">
        <v>9</v>
      </c>
      <c r="T94" s="65"/>
      <c r="U94" s="65"/>
      <c r="V94" s="65"/>
      <c r="W94" s="66"/>
      <c r="X94" s="71" t="s">
        <v>25</v>
      </c>
      <c r="Y94" s="71"/>
      <c r="Z94" s="71"/>
      <c r="AA94" s="71"/>
      <c r="AB94" s="71" t="s">
        <v>10</v>
      </c>
      <c r="AC94" s="71"/>
      <c r="AD94" s="71"/>
      <c r="AE94" s="71"/>
      <c r="AF94" s="70" t="s">
        <v>26</v>
      </c>
      <c r="AG94" s="70"/>
      <c r="AH94" s="70" t="s">
        <v>23</v>
      </c>
      <c r="AI94" s="70"/>
      <c r="AJ94" s="70"/>
      <c r="AK94" s="70"/>
      <c r="AL94" s="71" t="s">
        <v>24</v>
      </c>
      <c r="AM94" s="71"/>
      <c r="AN94" s="71"/>
      <c r="AO94" s="71"/>
      <c r="AP94" s="71"/>
      <c r="AQ94" s="71"/>
      <c r="AR94" s="71"/>
      <c r="AS94" s="71"/>
      <c r="AT94" s="71"/>
      <c r="AU94" s="64" t="s">
        <v>21</v>
      </c>
      <c r="AV94" s="65"/>
      <c r="AW94" s="65"/>
      <c r="AX94" s="65"/>
      <c r="AY94" s="65"/>
      <c r="AZ94" s="65"/>
      <c r="BA94" s="66"/>
      <c r="BB94" s="72" t="s">
        <v>22</v>
      </c>
      <c r="BC94" s="66"/>
    </row>
    <row r="95" spans="1:248" ht="29.25" hidden="1" customHeight="1">
      <c r="A95" s="198"/>
      <c r="B95" s="67" t="s">
        <v>11</v>
      </c>
      <c r="C95" s="68"/>
      <c r="D95" s="68"/>
      <c r="E95" s="68"/>
      <c r="F95" s="73" t="s">
        <v>12</v>
      </c>
      <c r="G95" s="73"/>
      <c r="H95" s="73"/>
      <c r="I95" s="73"/>
      <c r="J95" s="73"/>
      <c r="K95" s="73"/>
      <c r="L95" s="74"/>
      <c r="M95" s="67"/>
      <c r="N95" s="68"/>
      <c r="O95" s="68"/>
      <c r="P95" s="68"/>
      <c r="Q95" s="68"/>
      <c r="R95" s="69"/>
      <c r="S95" s="67"/>
      <c r="T95" s="68"/>
      <c r="U95" s="68"/>
      <c r="V95" s="68"/>
      <c r="W95" s="69"/>
      <c r="X95" s="71"/>
      <c r="Y95" s="71"/>
      <c r="Z95" s="71"/>
      <c r="AA95" s="71"/>
      <c r="AB95" s="71"/>
      <c r="AC95" s="71"/>
      <c r="AD95" s="71"/>
      <c r="AE95" s="71"/>
      <c r="AF95" s="70"/>
      <c r="AG95" s="70"/>
      <c r="AH95" s="70"/>
      <c r="AI95" s="70"/>
      <c r="AJ95" s="70"/>
      <c r="AK95" s="70"/>
      <c r="AL95" s="71"/>
      <c r="AM95" s="71"/>
      <c r="AN95" s="71"/>
      <c r="AO95" s="71"/>
      <c r="AP95" s="71"/>
      <c r="AQ95" s="71"/>
      <c r="AR95" s="71"/>
      <c r="AS95" s="71"/>
      <c r="AT95" s="71"/>
      <c r="AU95" s="67"/>
      <c r="AV95" s="68"/>
      <c r="AW95" s="68"/>
      <c r="AX95" s="68"/>
      <c r="AY95" s="68"/>
      <c r="AZ95" s="68"/>
      <c r="BA95" s="69"/>
      <c r="BB95" s="67"/>
      <c r="BC95" s="69"/>
    </row>
    <row r="96" spans="1:248" ht="24" hidden="1" customHeight="1">
      <c r="A96" s="25"/>
      <c r="B96" s="49"/>
      <c r="C96" s="50"/>
      <c r="D96" s="50"/>
      <c r="E96" s="50"/>
      <c r="F96" s="50"/>
      <c r="G96" s="50"/>
      <c r="H96" s="50"/>
      <c r="I96" s="50"/>
      <c r="J96" s="50"/>
      <c r="K96" s="50"/>
      <c r="L96" s="51"/>
      <c r="M96" s="29"/>
      <c r="N96" s="29"/>
      <c r="O96" s="29"/>
      <c r="P96" s="29"/>
      <c r="Q96" s="29"/>
      <c r="R96" s="29"/>
      <c r="S96" s="30"/>
      <c r="T96" s="30"/>
      <c r="U96" s="30"/>
      <c r="V96" s="30"/>
      <c r="W96" s="30"/>
      <c r="X96" s="29"/>
      <c r="Y96" s="30"/>
      <c r="Z96" s="30"/>
      <c r="AA96" s="30"/>
      <c r="AB96" s="31"/>
      <c r="AC96" s="32"/>
      <c r="AD96" s="32"/>
      <c r="AE96" s="32"/>
      <c r="AF96" s="33"/>
      <c r="AG96" s="34"/>
      <c r="AH96" s="30"/>
      <c r="AI96" s="35"/>
      <c r="AJ96" s="35"/>
      <c r="AK96" s="35"/>
      <c r="AL96" s="29"/>
      <c r="AM96" s="36"/>
      <c r="AN96" s="36"/>
      <c r="AO96" s="36"/>
      <c r="AP96" s="36"/>
      <c r="AQ96" s="36"/>
      <c r="AR96" s="36"/>
      <c r="AS96" s="36"/>
      <c r="AT96" s="36"/>
      <c r="AU96" s="43"/>
      <c r="AV96" s="43"/>
      <c r="AW96" s="63"/>
      <c r="AX96" s="41"/>
      <c r="AY96" s="42"/>
      <c r="AZ96" s="43"/>
      <c r="BA96" s="43"/>
      <c r="BB96" s="20"/>
      <c r="BC96" s="20"/>
    </row>
    <row r="97" spans="1:55" ht="24" hidden="1" customHeight="1">
      <c r="A97" s="25"/>
      <c r="B97" s="21"/>
      <c r="C97" s="22"/>
      <c r="D97" s="22"/>
      <c r="E97" s="22"/>
      <c r="F97" s="23"/>
      <c r="G97" s="23"/>
      <c r="H97" s="23"/>
      <c r="I97" s="23"/>
      <c r="J97" s="23"/>
      <c r="K97" s="23"/>
      <c r="L97" s="24"/>
      <c r="M97" s="29"/>
      <c r="N97" s="29"/>
      <c r="O97" s="29"/>
      <c r="P97" s="29"/>
      <c r="Q97" s="29"/>
      <c r="R97" s="29"/>
      <c r="S97" s="30"/>
      <c r="T97" s="30"/>
      <c r="U97" s="30"/>
      <c r="V97" s="30"/>
      <c r="W97" s="30"/>
      <c r="X97" s="30"/>
      <c r="Y97" s="30"/>
      <c r="Z97" s="30"/>
      <c r="AA97" s="30"/>
      <c r="AB97" s="32"/>
      <c r="AC97" s="32"/>
      <c r="AD97" s="32"/>
      <c r="AE97" s="32"/>
      <c r="AF97" s="34"/>
      <c r="AG97" s="34"/>
      <c r="AH97" s="35"/>
      <c r="AI97" s="35"/>
      <c r="AJ97" s="35"/>
      <c r="AK97" s="35"/>
      <c r="AL97" s="36"/>
      <c r="AM97" s="36"/>
      <c r="AN97" s="36"/>
      <c r="AO97" s="36"/>
      <c r="AP97" s="36"/>
      <c r="AQ97" s="36"/>
      <c r="AR97" s="36"/>
      <c r="AS97" s="36"/>
      <c r="AT97" s="36"/>
      <c r="AU97" s="43"/>
      <c r="AV97" s="43"/>
      <c r="AW97" s="63"/>
      <c r="AX97" s="41"/>
      <c r="AY97" s="42"/>
      <c r="AZ97" s="43"/>
      <c r="BA97" s="43"/>
      <c r="BB97" s="20"/>
      <c r="BC97" s="20"/>
    </row>
    <row r="98" spans="1:55" ht="24" hidden="1" customHeight="1">
      <c r="A98" s="25"/>
      <c r="B98" s="26"/>
      <c r="C98" s="27"/>
      <c r="D98" s="27"/>
      <c r="E98" s="27"/>
      <c r="F98" s="27"/>
      <c r="G98" s="27"/>
      <c r="H98" s="27"/>
      <c r="I98" s="27"/>
      <c r="J98" s="27"/>
      <c r="K98" s="27"/>
      <c r="L98" s="28"/>
      <c r="M98" s="29"/>
      <c r="N98" s="29"/>
      <c r="O98" s="29"/>
      <c r="P98" s="29"/>
      <c r="Q98" s="29"/>
      <c r="R98" s="29"/>
      <c r="S98" s="30"/>
      <c r="T98" s="30"/>
      <c r="U98" s="30"/>
      <c r="V98" s="30"/>
      <c r="W98" s="30"/>
      <c r="X98" s="30"/>
      <c r="Y98" s="30"/>
      <c r="Z98" s="30"/>
      <c r="AA98" s="30"/>
      <c r="AB98" s="31"/>
      <c r="AC98" s="32"/>
      <c r="AD98" s="32"/>
      <c r="AE98" s="32"/>
      <c r="AF98" s="33"/>
      <c r="AG98" s="34"/>
      <c r="AH98" s="30"/>
      <c r="AI98" s="35"/>
      <c r="AJ98" s="35"/>
      <c r="AK98" s="35"/>
      <c r="AL98" s="29"/>
      <c r="AM98" s="36"/>
      <c r="AN98" s="36"/>
      <c r="AO98" s="36"/>
      <c r="AP98" s="36"/>
      <c r="AQ98" s="36"/>
      <c r="AR98" s="36"/>
      <c r="AS98" s="36"/>
      <c r="AT98" s="36"/>
      <c r="AU98" s="37"/>
      <c r="AV98" s="38"/>
      <c r="AW98" s="38"/>
      <c r="AX98" s="41"/>
      <c r="AY98" s="42"/>
      <c r="AZ98" s="43"/>
      <c r="BA98" s="43"/>
      <c r="BB98" s="20"/>
      <c r="BC98" s="20"/>
    </row>
    <row r="99" spans="1:55" ht="24" hidden="1" customHeight="1">
      <c r="A99" s="25"/>
      <c r="B99" s="44"/>
      <c r="C99" s="45"/>
      <c r="D99" s="45"/>
      <c r="E99" s="45"/>
      <c r="F99" s="46"/>
      <c r="G99" s="47"/>
      <c r="H99" s="47"/>
      <c r="I99" s="47"/>
      <c r="J99" s="47"/>
      <c r="K99" s="47"/>
      <c r="L99" s="48"/>
      <c r="M99" s="29"/>
      <c r="N99" s="29"/>
      <c r="O99" s="29"/>
      <c r="P99" s="29"/>
      <c r="Q99" s="29"/>
      <c r="R99" s="29"/>
      <c r="S99" s="30"/>
      <c r="T99" s="30"/>
      <c r="U99" s="30"/>
      <c r="V99" s="30"/>
      <c r="W99" s="30"/>
      <c r="X99" s="30"/>
      <c r="Y99" s="30"/>
      <c r="Z99" s="30"/>
      <c r="AA99" s="30"/>
      <c r="AB99" s="32"/>
      <c r="AC99" s="32"/>
      <c r="AD99" s="32"/>
      <c r="AE99" s="32"/>
      <c r="AF99" s="34"/>
      <c r="AG99" s="34"/>
      <c r="AH99" s="35"/>
      <c r="AI99" s="35"/>
      <c r="AJ99" s="35"/>
      <c r="AK99" s="35"/>
      <c r="AL99" s="36"/>
      <c r="AM99" s="36"/>
      <c r="AN99" s="36"/>
      <c r="AO99" s="36"/>
      <c r="AP99" s="36"/>
      <c r="AQ99" s="36"/>
      <c r="AR99" s="36"/>
      <c r="AS99" s="36"/>
      <c r="AT99" s="36"/>
      <c r="AU99" s="39"/>
      <c r="AV99" s="40"/>
      <c r="AW99" s="40"/>
      <c r="AX99" s="41"/>
      <c r="AY99" s="42"/>
      <c r="AZ99" s="43"/>
      <c r="BA99" s="43"/>
      <c r="BB99" s="20"/>
      <c r="BC99" s="20"/>
    </row>
  </sheetData>
  <mergeCells count="502">
    <mergeCell ref="BB33:BC34"/>
    <mergeCell ref="B34:E34"/>
    <mergeCell ref="F34:L34"/>
    <mergeCell ref="AY84:BA85"/>
    <mergeCell ref="BB84:BC85"/>
    <mergeCell ref="B85:E85"/>
    <mergeCell ref="F85:L85"/>
    <mergeCell ref="B84:L84"/>
    <mergeCell ref="M84:R85"/>
    <mergeCell ref="S84:W85"/>
    <mergeCell ref="X84:AA85"/>
    <mergeCell ref="AB84:AE85"/>
    <mergeCell ref="AF84:AG85"/>
    <mergeCell ref="AH84:AK85"/>
    <mergeCell ref="AL84:AT85"/>
    <mergeCell ref="AU84:AW85"/>
    <mergeCell ref="AU98:AW99"/>
    <mergeCell ref="AX98:AX99"/>
    <mergeCell ref="AY98:BA99"/>
    <mergeCell ref="BB98:BC99"/>
    <mergeCell ref="B99:E99"/>
    <mergeCell ref="F99:L99"/>
    <mergeCell ref="A98:A99"/>
    <mergeCell ref="B98:L98"/>
    <mergeCell ref="M98:R99"/>
    <mergeCell ref="S98:W99"/>
    <mergeCell ref="X98:AA99"/>
    <mergeCell ref="AB98:AE99"/>
    <mergeCell ref="AF98:AG99"/>
    <mergeCell ref="AH98:AK99"/>
    <mergeCell ref="AL98:AT99"/>
    <mergeCell ref="AY96:BA97"/>
    <mergeCell ref="BB96:BC97"/>
    <mergeCell ref="B97:E97"/>
    <mergeCell ref="F97:L97"/>
    <mergeCell ref="X96:AA97"/>
    <mergeCell ref="AB96:AE97"/>
    <mergeCell ref="AF96:AG97"/>
    <mergeCell ref="AH96:AK97"/>
    <mergeCell ref="AL96:AT97"/>
    <mergeCell ref="AU96:AW97"/>
    <mergeCell ref="A96:A97"/>
    <mergeCell ref="B96:L96"/>
    <mergeCell ref="M96:R97"/>
    <mergeCell ref="S96:W97"/>
    <mergeCell ref="AH78:AK79"/>
    <mergeCell ref="AL78:AT79"/>
    <mergeCell ref="AU78:AW79"/>
    <mergeCell ref="A78:A79"/>
    <mergeCell ref="B78:L78"/>
    <mergeCell ref="M78:R79"/>
    <mergeCell ref="S78:W79"/>
    <mergeCell ref="X78:AA79"/>
    <mergeCell ref="AB78:AE79"/>
    <mergeCell ref="A94:A95"/>
    <mergeCell ref="B94:L94"/>
    <mergeCell ref="M94:R95"/>
    <mergeCell ref="S94:W95"/>
    <mergeCell ref="X94:AA95"/>
    <mergeCell ref="AB94:AE95"/>
    <mergeCell ref="AF94:AG95"/>
    <mergeCell ref="A84:A85"/>
    <mergeCell ref="AW91:AX92"/>
    <mergeCell ref="AX96:AX97"/>
    <mergeCell ref="AX84:AX85"/>
    <mergeCell ref="AU1:BA1"/>
    <mergeCell ref="AB27:AE28"/>
    <mergeCell ref="X41:AA42"/>
    <mergeCell ref="AU41:BA42"/>
    <mergeCell ref="AZ38:BA39"/>
    <mergeCell ref="A2:BC2"/>
    <mergeCell ref="AZ4:BA5"/>
    <mergeCell ref="AY4:AY5"/>
    <mergeCell ref="AO4:AP5"/>
    <mergeCell ref="A3:BC3"/>
    <mergeCell ref="A5:D5"/>
    <mergeCell ref="AS4:AS5"/>
    <mergeCell ref="S23:W24"/>
    <mergeCell ref="X4:Y5"/>
    <mergeCell ref="E8:T9"/>
    <mergeCell ref="AY31:BA32"/>
    <mergeCell ref="BB31:BC32"/>
    <mergeCell ref="B32:E32"/>
    <mergeCell ref="F32:L32"/>
    <mergeCell ref="A33:A34"/>
    <mergeCell ref="B33:L33"/>
    <mergeCell ref="M33:R34"/>
    <mergeCell ref="S33:W34"/>
    <mergeCell ref="X33:AA34"/>
    <mergeCell ref="AQ4:AR5"/>
    <mergeCell ref="AK8:AN9"/>
    <mergeCell ref="AT4:AV5"/>
    <mergeCell ref="AD6:AN7"/>
    <mergeCell ref="M23:R24"/>
    <mergeCell ref="E5:T5"/>
    <mergeCell ref="AX78:AX79"/>
    <mergeCell ref="AY78:BA79"/>
    <mergeCell ref="BB78:BC79"/>
    <mergeCell ref="B77:E77"/>
    <mergeCell ref="F77:L77"/>
    <mergeCell ref="AF78:AG79"/>
    <mergeCell ref="AH76:AK77"/>
    <mergeCell ref="AL76:AT77"/>
    <mergeCell ref="AU76:AW77"/>
    <mergeCell ref="B79:E79"/>
    <mergeCell ref="F79:L79"/>
    <mergeCell ref="AB33:AE34"/>
    <mergeCell ref="AF33:AG34"/>
    <mergeCell ref="AH33:AK34"/>
    <mergeCell ref="AL33:AT34"/>
    <mergeCell ref="AU33:AW34"/>
    <mergeCell ref="AX33:AX34"/>
    <mergeCell ref="AY33:BA34"/>
    <mergeCell ref="A4:D4"/>
    <mergeCell ref="AH23:AK24"/>
    <mergeCell ref="BB4:BC5"/>
    <mergeCell ref="AO8:AX9"/>
    <mergeCell ref="Z4:AC5"/>
    <mergeCell ref="U4:W5"/>
    <mergeCell ref="BB23:BC24"/>
    <mergeCell ref="F24:L24"/>
    <mergeCell ref="A6:D7"/>
    <mergeCell ref="Z6:AC7"/>
    <mergeCell ref="E6:Y7"/>
    <mergeCell ref="X23:AA24"/>
    <mergeCell ref="AB23:AE24"/>
    <mergeCell ref="A8:D9"/>
    <mergeCell ref="B23:L23"/>
    <mergeCell ref="B24:E24"/>
    <mergeCell ref="AD4:AN5"/>
    <mergeCell ref="AS6:BC7"/>
    <mergeCell ref="AL23:AT24"/>
    <mergeCell ref="AU23:BA24"/>
    <mergeCell ref="AF23:AG24"/>
    <mergeCell ref="AO6:AR7"/>
    <mergeCell ref="E4:T4"/>
    <mergeCell ref="AW4:AX5"/>
    <mergeCell ref="AL31:AT32"/>
    <mergeCell ref="S27:W28"/>
    <mergeCell ref="B27:L27"/>
    <mergeCell ref="B28:E28"/>
    <mergeCell ref="B41:L41"/>
    <mergeCell ref="F28:L28"/>
    <mergeCell ref="A39:D39"/>
    <mergeCell ref="AU35:BA35"/>
    <mergeCell ref="E39:T39"/>
    <mergeCell ref="U38:W39"/>
    <mergeCell ref="E38:T38"/>
    <mergeCell ref="AY27:BA28"/>
    <mergeCell ref="AB41:AE42"/>
    <mergeCell ref="AH27:AK28"/>
    <mergeCell ref="AH41:AK42"/>
    <mergeCell ref="AO38:AP39"/>
    <mergeCell ref="AL27:AT28"/>
    <mergeCell ref="AU29:AW30"/>
    <mergeCell ref="B42:E42"/>
    <mergeCell ref="A38:D38"/>
    <mergeCell ref="M41:R42"/>
    <mergeCell ref="AF41:AG42"/>
    <mergeCell ref="B26:E26"/>
    <mergeCell ref="A41:A42"/>
    <mergeCell ref="B25:L25"/>
    <mergeCell ref="M25:R26"/>
    <mergeCell ref="F42:L42"/>
    <mergeCell ref="AF31:AG32"/>
    <mergeCell ref="AF25:AG26"/>
    <mergeCell ref="F26:L26"/>
    <mergeCell ref="BB38:BC39"/>
    <mergeCell ref="BB41:BC42"/>
    <mergeCell ref="AB25:AE26"/>
    <mergeCell ref="A45:A46"/>
    <mergeCell ref="AY38:AY39"/>
    <mergeCell ref="Z38:AC39"/>
    <mergeCell ref="AF27:AG28"/>
    <mergeCell ref="A36:BC36"/>
    <mergeCell ref="A27:A28"/>
    <mergeCell ref="M27:R28"/>
    <mergeCell ref="AX27:AX28"/>
    <mergeCell ref="AL41:AT42"/>
    <mergeCell ref="AU27:AW28"/>
    <mergeCell ref="AS38:AS39"/>
    <mergeCell ref="AW38:AX39"/>
    <mergeCell ref="AQ38:AR39"/>
    <mergeCell ref="AD38:AN39"/>
    <mergeCell ref="AT38:AV39"/>
    <mergeCell ref="A31:A32"/>
    <mergeCell ref="B31:L31"/>
    <mergeCell ref="M31:R32"/>
    <mergeCell ref="S31:W32"/>
    <mergeCell ref="X31:AA32"/>
    <mergeCell ref="AB31:AE32"/>
    <mergeCell ref="A43:A44"/>
    <mergeCell ref="B43:L43"/>
    <mergeCell ref="M43:R44"/>
    <mergeCell ref="S43:W44"/>
    <mergeCell ref="B44:E44"/>
    <mergeCell ref="F44:L44"/>
    <mergeCell ref="AY53:BA54"/>
    <mergeCell ref="BB53:BC54"/>
    <mergeCell ref="B54:E54"/>
    <mergeCell ref="F54:L54"/>
    <mergeCell ref="AX51:AX52"/>
    <mergeCell ref="AY51:BA52"/>
    <mergeCell ref="BB51:BC52"/>
    <mergeCell ref="AU49:AW50"/>
    <mergeCell ref="AX49:AX50"/>
    <mergeCell ref="AL53:AT54"/>
    <mergeCell ref="AU53:AW54"/>
    <mergeCell ref="AX53:AX54"/>
    <mergeCell ref="F52:L52"/>
    <mergeCell ref="B52:E52"/>
    <mergeCell ref="AB51:AE52"/>
    <mergeCell ref="X51:AA52"/>
    <mergeCell ref="S51:W52"/>
    <mergeCell ref="M51:R52"/>
    <mergeCell ref="A55:A56"/>
    <mergeCell ref="B55:L55"/>
    <mergeCell ref="M55:R56"/>
    <mergeCell ref="AU55:AW56"/>
    <mergeCell ref="AX55:AX56"/>
    <mergeCell ref="B51:L51"/>
    <mergeCell ref="S55:W56"/>
    <mergeCell ref="X55:AA56"/>
    <mergeCell ref="AB55:AE56"/>
    <mergeCell ref="B56:E56"/>
    <mergeCell ref="F56:L56"/>
    <mergeCell ref="AL55:AT56"/>
    <mergeCell ref="A53:A54"/>
    <mergeCell ref="A51:A52"/>
    <mergeCell ref="AB53:AE54"/>
    <mergeCell ref="AF53:AG54"/>
    <mergeCell ref="B53:L53"/>
    <mergeCell ref="M53:R54"/>
    <mergeCell ref="S53:W54"/>
    <mergeCell ref="X53:AA54"/>
    <mergeCell ref="AF51:AG52"/>
    <mergeCell ref="AH51:AK52"/>
    <mergeCell ref="AL51:AT52"/>
    <mergeCell ref="AU51:AW52"/>
    <mergeCell ref="AH53:AK54"/>
    <mergeCell ref="BB70:BC71"/>
    <mergeCell ref="AY61:BA62"/>
    <mergeCell ref="BB61:BC62"/>
    <mergeCell ref="B62:E62"/>
    <mergeCell ref="F62:L62"/>
    <mergeCell ref="AL70:AT71"/>
    <mergeCell ref="AX59:AX60"/>
    <mergeCell ref="AH70:AK71"/>
    <mergeCell ref="M70:R71"/>
    <mergeCell ref="M61:R62"/>
    <mergeCell ref="AL61:AT62"/>
    <mergeCell ref="AU61:AW62"/>
    <mergeCell ref="AX61:AX62"/>
    <mergeCell ref="AU70:BA71"/>
    <mergeCell ref="AF70:AG71"/>
    <mergeCell ref="AB70:AE71"/>
    <mergeCell ref="B61:L61"/>
    <mergeCell ref="AY59:BA60"/>
    <mergeCell ref="S61:W62"/>
    <mergeCell ref="X61:AA62"/>
    <mergeCell ref="F71:L71"/>
    <mergeCell ref="AB61:AE62"/>
    <mergeCell ref="AF61:AG62"/>
    <mergeCell ref="AH61:AK62"/>
    <mergeCell ref="A76:A77"/>
    <mergeCell ref="B76:L76"/>
    <mergeCell ref="M76:R77"/>
    <mergeCell ref="S76:W77"/>
    <mergeCell ref="X76:AA77"/>
    <mergeCell ref="AB76:AE77"/>
    <mergeCell ref="AH59:AK60"/>
    <mergeCell ref="AF76:AG77"/>
    <mergeCell ref="B70:L70"/>
    <mergeCell ref="X70:AA71"/>
    <mergeCell ref="B71:E71"/>
    <mergeCell ref="A61:A62"/>
    <mergeCell ref="A70:A71"/>
    <mergeCell ref="A59:A60"/>
    <mergeCell ref="B59:L59"/>
    <mergeCell ref="M59:R60"/>
    <mergeCell ref="S59:W60"/>
    <mergeCell ref="X59:AA60"/>
    <mergeCell ref="B60:E60"/>
    <mergeCell ref="F60:L60"/>
    <mergeCell ref="AB59:AE60"/>
    <mergeCell ref="AF59:AG60"/>
    <mergeCell ref="S70:W71"/>
    <mergeCell ref="BB59:BC60"/>
    <mergeCell ref="AL59:AT60"/>
    <mergeCell ref="AU59:AW60"/>
    <mergeCell ref="BB76:BC77"/>
    <mergeCell ref="AU72:AW73"/>
    <mergeCell ref="AX72:AX73"/>
    <mergeCell ref="AY72:BA73"/>
    <mergeCell ref="BB72:BC73"/>
    <mergeCell ref="AU74:AW75"/>
    <mergeCell ref="AX74:AX75"/>
    <mergeCell ref="AY74:BA75"/>
    <mergeCell ref="BB74:BC75"/>
    <mergeCell ref="AQ67:AR68"/>
    <mergeCell ref="AO67:AP68"/>
    <mergeCell ref="AY67:AY68"/>
    <mergeCell ref="E67:T67"/>
    <mergeCell ref="AZ67:BA68"/>
    <mergeCell ref="X67:Y68"/>
    <mergeCell ref="AU64:BA64"/>
    <mergeCell ref="BB67:BC68"/>
    <mergeCell ref="A72:A73"/>
    <mergeCell ref="AX76:AX77"/>
    <mergeCell ref="AY76:BA77"/>
    <mergeCell ref="A68:D68"/>
    <mergeCell ref="A67:D67"/>
    <mergeCell ref="E68:T68"/>
    <mergeCell ref="B72:L72"/>
    <mergeCell ref="M72:R73"/>
    <mergeCell ref="S72:W73"/>
    <mergeCell ref="X72:AA73"/>
    <mergeCell ref="AB72:AE73"/>
    <mergeCell ref="BB49:BC50"/>
    <mergeCell ref="B50:E50"/>
    <mergeCell ref="F50:L50"/>
    <mergeCell ref="A57:A58"/>
    <mergeCell ref="B57:L57"/>
    <mergeCell ref="M57:R58"/>
    <mergeCell ref="S57:W58"/>
    <mergeCell ref="X57:AA58"/>
    <mergeCell ref="AB57:AE58"/>
    <mergeCell ref="AF57:AG58"/>
    <mergeCell ref="AH57:AK58"/>
    <mergeCell ref="AL57:AT58"/>
    <mergeCell ref="AU57:AW58"/>
    <mergeCell ref="AX57:AX58"/>
    <mergeCell ref="AY57:BA58"/>
    <mergeCell ref="BB57:BC58"/>
    <mergeCell ref="B58:E58"/>
    <mergeCell ref="F58:L58"/>
    <mergeCell ref="A49:A50"/>
    <mergeCell ref="B49:L49"/>
    <mergeCell ref="M49:R50"/>
    <mergeCell ref="S49:W50"/>
    <mergeCell ref="X49:AA50"/>
    <mergeCell ref="AF55:AG56"/>
    <mergeCell ref="B73:E73"/>
    <mergeCell ref="F73:L73"/>
    <mergeCell ref="A74:A75"/>
    <mergeCell ref="B74:L74"/>
    <mergeCell ref="M74:R75"/>
    <mergeCell ref="S74:W75"/>
    <mergeCell ref="X74:AA75"/>
    <mergeCell ref="AB74:AE75"/>
    <mergeCell ref="AF74:AG75"/>
    <mergeCell ref="B75:E75"/>
    <mergeCell ref="F75:L75"/>
    <mergeCell ref="AU43:AW44"/>
    <mergeCell ref="AX43:AX44"/>
    <mergeCell ref="AY43:BA44"/>
    <mergeCell ref="BB43:BC44"/>
    <mergeCell ref="AX47:AX48"/>
    <mergeCell ref="AY47:BA48"/>
    <mergeCell ref="BB47:BC48"/>
    <mergeCell ref="B48:E48"/>
    <mergeCell ref="F48:L48"/>
    <mergeCell ref="B45:L45"/>
    <mergeCell ref="M45:R46"/>
    <mergeCell ref="S45:W46"/>
    <mergeCell ref="X45:AA46"/>
    <mergeCell ref="AB45:AE46"/>
    <mergeCell ref="AF45:AG46"/>
    <mergeCell ref="AH45:AK46"/>
    <mergeCell ref="AL45:AT46"/>
    <mergeCell ref="AU45:AW46"/>
    <mergeCell ref="X43:AA44"/>
    <mergeCell ref="AB43:AE44"/>
    <mergeCell ref="AF43:AG44"/>
    <mergeCell ref="AH43:AK44"/>
    <mergeCell ref="AL43:AT44"/>
    <mergeCell ref="AY91:AY92"/>
    <mergeCell ref="AZ91:BA92"/>
    <mergeCell ref="BB91:BC92"/>
    <mergeCell ref="A92:D92"/>
    <mergeCell ref="E92:T92"/>
    <mergeCell ref="AX45:AX46"/>
    <mergeCell ref="AY45:BA46"/>
    <mergeCell ref="BB45:BC46"/>
    <mergeCell ref="B46:E46"/>
    <mergeCell ref="F46:L46"/>
    <mergeCell ref="A47:A48"/>
    <mergeCell ref="B47:L47"/>
    <mergeCell ref="M47:R48"/>
    <mergeCell ref="S47:W48"/>
    <mergeCell ref="X47:AA48"/>
    <mergeCell ref="AB47:AE48"/>
    <mergeCell ref="AF47:AG48"/>
    <mergeCell ref="AH47:AK48"/>
    <mergeCell ref="AL47:AT48"/>
    <mergeCell ref="AU47:AW48"/>
    <mergeCell ref="AB80:AE81"/>
    <mergeCell ref="AF80:AG81"/>
    <mergeCell ref="AH80:AK81"/>
    <mergeCell ref="AL80:AT81"/>
    <mergeCell ref="AY29:BA30"/>
    <mergeCell ref="BB29:BC30"/>
    <mergeCell ref="B30:E30"/>
    <mergeCell ref="F30:L30"/>
    <mergeCell ref="Y8:AJ9"/>
    <mergeCell ref="U8:X9"/>
    <mergeCell ref="E10:T21"/>
    <mergeCell ref="Y10:BC21"/>
    <mergeCell ref="U10:X21"/>
    <mergeCell ref="A10:D21"/>
    <mergeCell ref="AH25:AK26"/>
    <mergeCell ref="A25:A26"/>
    <mergeCell ref="S25:W26"/>
    <mergeCell ref="X27:AA28"/>
    <mergeCell ref="X25:AA26"/>
    <mergeCell ref="AL29:AT30"/>
    <mergeCell ref="AX29:AX30"/>
    <mergeCell ref="A23:A24"/>
    <mergeCell ref="BB27:BC28"/>
    <mergeCell ref="BB25:BC26"/>
    <mergeCell ref="AX25:AX26"/>
    <mergeCell ref="AL25:AT26"/>
    <mergeCell ref="AU25:AW26"/>
    <mergeCell ref="AY25:BA26"/>
    <mergeCell ref="X38:Y39"/>
    <mergeCell ref="A29:A30"/>
    <mergeCell ref="B29:L29"/>
    <mergeCell ref="M29:R30"/>
    <mergeCell ref="S29:W30"/>
    <mergeCell ref="X29:AA30"/>
    <mergeCell ref="AB29:AE30"/>
    <mergeCell ref="AF29:AG30"/>
    <mergeCell ref="AH29:AK30"/>
    <mergeCell ref="AH31:AK32"/>
    <mergeCell ref="S41:W42"/>
    <mergeCell ref="AU31:AW32"/>
    <mergeCell ref="AX31:AX32"/>
    <mergeCell ref="AH94:AK95"/>
    <mergeCell ref="AL94:AT95"/>
    <mergeCell ref="AU94:BA95"/>
    <mergeCell ref="BB94:BC95"/>
    <mergeCell ref="B95:E95"/>
    <mergeCell ref="F95:L95"/>
    <mergeCell ref="A89:BC89"/>
    <mergeCell ref="A90:BC90"/>
    <mergeCell ref="A91:D91"/>
    <mergeCell ref="E91:T91"/>
    <mergeCell ref="U91:W92"/>
    <mergeCell ref="X91:Y92"/>
    <mergeCell ref="Z91:AC92"/>
    <mergeCell ref="AD91:AN92"/>
    <mergeCell ref="AO91:AP92"/>
    <mergeCell ref="AQ91:AR92"/>
    <mergeCell ref="AS91:AS92"/>
    <mergeCell ref="AT91:AV92"/>
    <mergeCell ref="M80:R81"/>
    <mergeCell ref="S80:W81"/>
    <mergeCell ref="X80:AA81"/>
    <mergeCell ref="AB49:AE50"/>
    <mergeCell ref="AF49:AG50"/>
    <mergeCell ref="AH49:AK50"/>
    <mergeCell ref="AL49:AT50"/>
    <mergeCell ref="AS67:AS68"/>
    <mergeCell ref="AU88:BA88"/>
    <mergeCell ref="AU80:AW81"/>
    <mergeCell ref="AX80:AX81"/>
    <mergeCell ref="AY80:BA81"/>
    <mergeCell ref="AF72:AG73"/>
    <mergeCell ref="AH72:AK73"/>
    <mergeCell ref="AL72:AT73"/>
    <mergeCell ref="AH74:AK75"/>
    <mergeCell ref="AL74:AT75"/>
    <mergeCell ref="AY49:BA50"/>
    <mergeCell ref="AH55:AK56"/>
    <mergeCell ref="A65:BC65"/>
    <mergeCell ref="AY55:BA56"/>
    <mergeCell ref="BB55:BC56"/>
    <mergeCell ref="AW67:AX68"/>
    <mergeCell ref="AT67:AV68"/>
    <mergeCell ref="AD67:AN68"/>
    <mergeCell ref="U67:W68"/>
    <mergeCell ref="Z67:AC68"/>
    <mergeCell ref="BB80:BC81"/>
    <mergeCell ref="B81:E81"/>
    <mergeCell ref="F81:L81"/>
    <mergeCell ref="A82:A83"/>
    <mergeCell ref="B82:L82"/>
    <mergeCell ref="M82:R83"/>
    <mergeCell ref="S82:W83"/>
    <mergeCell ref="X82:AA83"/>
    <mergeCell ref="AB82:AE83"/>
    <mergeCell ref="AF82:AG83"/>
    <mergeCell ref="AH82:AK83"/>
    <mergeCell ref="AL82:AT83"/>
    <mergeCell ref="AU82:AW83"/>
    <mergeCell ref="AX82:AX83"/>
    <mergeCell ref="AY82:BA83"/>
    <mergeCell ref="BB82:BC83"/>
    <mergeCell ref="B83:E83"/>
    <mergeCell ref="F83:L83"/>
    <mergeCell ref="A80:A81"/>
    <mergeCell ref="B80:L80"/>
  </mergeCells>
  <phoneticPr fontId="1"/>
  <pageMargins left="0.39370078740157483" right="0.19685039370078741" top="0.39370078740157483" bottom="0.39370078740157483" header="0.31496062992125984" footer="0.19685039370078741"/>
  <pageSetup paperSize="9" scale="93" orientation="landscape" horizontalDpi="4294967292" r:id="rId1"/>
  <headerFooter alignWithMargins="0">
    <oddFooter>&amp;C&amp;P</oddFooter>
  </headerFooter>
  <rowBreaks count="1" manualBreakCount="1">
    <brk id="6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菅 雄二</dc:creator>
  <cp:lastModifiedBy>増山公雄</cp:lastModifiedBy>
  <cp:lastPrinted>2026-06-08T15:01:39Z</cp:lastPrinted>
  <dcterms:created xsi:type="dcterms:W3CDTF">1999-09-16T04:30:16Z</dcterms:created>
  <dcterms:modified xsi:type="dcterms:W3CDTF">2026-06-15T06:48:21Z</dcterms:modified>
</cp:coreProperties>
</file>